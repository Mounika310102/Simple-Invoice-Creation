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allysolutions-my.sharepoint.com/personal/mounika_hampanna_tallysolutions_com/Documents/"/>
    </mc:Choice>
  </mc:AlternateContent>
  <xr:revisionPtr revIDLastSave="276" documentId="8_{00B3166B-A51B-4FB7-B644-E092AAB0F67A}" xr6:coauthVersionLast="47" xr6:coauthVersionMax="47" xr10:uidLastSave="{34A36F32-5213-41F9-A72C-DDB24047D72F}"/>
  <bookViews>
    <workbookView xWindow="-110" yWindow="-110" windowWidth="19420" windowHeight="10300" xr2:uid="{00000000-000D-0000-FFFF-FFFF00000000}"/>
  </bookViews>
  <sheets>
    <sheet name="Table 1" sheetId="1" r:id="rId1"/>
    <sheet name="Sheet2" sheetId="3" r:id="rId2"/>
  </sheets>
  <functionGroups builtInGroupCount="19"/>
  <definedNames>
    <definedName name="aa">Sheet2!$A$2:$BA$111</definedName>
    <definedName name="BB">Sheet2!$A$1:$AV$103</definedName>
    <definedName name="MM">Sheet2!$A$2:$BF$160</definedName>
    <definedName name="oo">Sheet2!$D$2:$E$101</definedName>
    <definedName name="_xlnm.Print_Area" localSheetId="0">'Table 1'!$B$2:$I$80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1" l="1"/>
  <c r="C8" i="1"/>
  <c r="H8" i="1"/>
  <c r="B13" i="1"/>
  <c r="F3" i="3" l="1" a="1"/>
  <c r="F3" i="3" s="1"/>
  <c r="G3" i="3" s="1"/>
  <c r="H3" i="3" a="1"/>
  <c r="H3" i="3" s="1"/>
  <c r="I3" i="3" s="1"/>
  <c r="J3" i="3" a="1"/>
  <c r="J3" i="3" s="1"/>
  <c r="K3" i="3" s="1"/>
  <c r="L3" i="3" a="1"/>
  <c r="L3" i="3" s="1"/>
  <c r="M3" i="3" s="1"/>
  <c r="N3" i="3" a="1"/>
  <c r="N3" i="3" s="1"/>
  <c r="O3" i="3" s="1"/>
  <c r="P3" i="3" a="1"/>
  <c r="P3" i="3" s="1"/>
  <c r="Q3" i="3" s="1"/>
  <c r="R3" i="3" a="1"/>
  <c r="R3" i="3" s="1"/>
  <c r="S3" i="3" s="1"/>
  <c r="T3" i="3" a="1"/>
  <c r="T3" i="3" s="1"/>
  <c r="U3" i="3" s="1"/>
  <c r="V3" i="3" a="1"/>
  <c r="V3" i="3" s="1"/>
  <c r="W3" i="3" s="1"/>
  <c r="X3" i="3" a="1"/>
  <c r="X3" i="3" s="1"/>
  <c r="Y3" i="3" s="1"/>
  <c r="Z3" i="3" a="1"/>
  <c r="Z3" i="3" s="1"/>
  <c r="AA3" i="3" s="1"/>
  <c r="AB3" i="3" a="1"/>
  <c r="AB3" i="3" s="1"/>
  <c r="AC3" i="3" s="1"/>
  <c r="AD3" i="3" a="1"/>
  <c r="AD3" i="3" s="1"/>
  <c r="AE3" i="3" s="1"/>
  <c r="AF3" i="3" a="1"/>
  <c r="AF3" i="3" s="1"/>
  <c r="AG3" i="3" s="1"/>
  <c r="AH3" i="3" a="1"/>
  <c r="AH3" i="3" s="1"/>
  <c r="AI3" i="3" s="1"/>
  <c r="AJ3" i="3" a="1"/>
  <c r="AJ3" i="3" s="1"/>
  <c r="AK3" i="3" s="1"/>
  <c r="AL3" i="3" a="1"/>
  <c r="AL3" i="3" s="1"/>
  <c r="AM3" i="3" s="1"/>
  <c r="AN3" i="3" a="1"/>
  <c r="AN3" i="3" s="1"/>
  <c r="AO3" i="3" s="1"/>
  <c r="AP3" i="3" a="1"/>
  <c r="AP3" i="3" s="1"/>
  <c r="AQ3" i="3" s="1"/>
  <c r="F4" i="3" a="1"/>
  <c r="F4" i="3" s="1"/>
  <c r="G4" i="3" s="1"/>
  <c r="H4" i="3" a="1"/>
  <c r="H4" i="3" s="1"/>
  <c r="I4" i="3" s="1"/>
  <c r="J4" i="3" a="1"/>
  <c r="J4" i="3" s="1"/>
  <c r="K4" i="3" s="1"/>
  <c r="L4" i="3" a="1"/>
  <c r="L4" i="3" s="1"/>
  <c r="M4" i="3" s="1"/>
  <c r="N4" i="3" a="1"/>
  <c r="N4" i="3" s="1"/>
  <c r="O4" i="3" s="1"/>
  <c r="P4" i="3" a="1"/>
  <c r="P4" i="3" s="1"/>
  <c r="Q4" i="3" s="1"/>
  <c r="R4" i="3" a="1"/>
  <c r="R4" i="3" s="1"/>
  <c r="S4" i="3" s="1"/>
  <c r="T4" i="3" a="1"/>
  <c r="T4" i="3" s="1"/>
  <c r="U4" i="3" s="1"/>
  <c r="V4" i="3" a="1"/>
  <c r="V4" i="3" s="1"/>
  <c r="W4" i="3" s="1"/>
  <c r="X4" i="3" a="1"/>
  <c r="X4" i="3" s="1"/>
  <c r="Y4" i="3" s="1"/>
  <c r="Z4" i="3" a="1"/>
  <c r="Z4" i="3" s="1"/>
  <c r="AA4" i="3" s="1"/>
  <c r="AB4" i="3" a="1"/>
  <c r="AB4" i="3" s="1"/>
  <c r="AC4" i="3" s="1"/>
  <c r="AD4" i="3" a="1"/>
  <c r="AD4" i="3" s="1"/>
  <c r="AE4" i="3" s="1"/>
  <c r="AF4" i="3" a="1"/>
  <c r="AF4" i="3" s="1"/>
  <c r="AG4" i="3" s="1"/>
  <c r="AH4" i="3" a="1"/>
  <c r="AH4" i="3" s="1"/>
  <c r="AI4" i="3" s="1"/>
  <c r="AJ4" i="3" a="1"/>
  <c r="AJ4" i="3" s="1"/>
  <c r="AK4" i="3" s="1"/>
  <c r="AL4" i="3" a="1"/>
  <c r="AL4" i="3" s="1"/>
  <c r="AM4" i="3" s="1"/>
  <c r="AN4" i="3" a="1"/>
  <c r="AN4" i="3" s="1"/>
  <c r="AO4" i="3" s="1"/>
  <c r="AP4" i="3" a="1"/>
  <c r="AP4" i="3" s="1"/>
  <c r="AQ4" i="3" s="1"/>
  <c r="F5" i="3" a="1"/>
  <c r="F5" i="3" s="1"/>
  <c r="G5" i="3" s="1"/>
  <c r="H5" i="3" a="1"/>
  <c r="H5" i="3" s="1"/>
  <c r="I5" i="3" s="1"/>
  <c r="J5" i="3" a="1"/>
  <c r="J5" i="3" s="1"/>
  <c r="K5" i="3" s="1"/>
  <c r="L5" i="3" a="1"/>
  <c r="L5" i="3" s="1"/>
  <c r="M5" i="3" s="1"/>
  <c r="N5" i="3" a="1"/>
  <c r="N5" i="3" s="1"/>
  <c r="O5" i="3" s="1"/>
  <c r="P5" i="3" a="1"/>
  <c r="P5" i="3" s="1"/>
  <c r="Q5" i="3" s="1"/>
  <c r="R5" i="3" a="1"/>
  <c r="R5" i="3" s="1"/>
  <c r="S5" i="3" s="1"/>
  <c r="T5" i="3" a="1"/>
  <c r="T5" i="3" s="1"/>
  <c r="U5" i="3" s="1"/>
  <c r="V5" i="3" a="1"/>
  <c r="V5" i="3" s="1"/>
  <c r="W5" i="3" s="1"/>
  <c r="X5" i="3" a="1"/>
  <c r="X5" i="3" s="1"/>
  <c r="Y5" i="3" s="1"/>
  <c r="Z5" i="3" a="1"/>
  <c r="Z5" i="3" s="1"/>
  <c r="AA5" i="3" s="1"/>
  <c r="AB5" i="3" a="1"/>
  <c r="AB5" i="3" s="1"/>
  <c r="AC5" i="3" s="1"/>
  <c r="AD5" i="3" a="1"/>
  <c r="AD5" i="3" s="1"/>
  <c r="AE5" i="3" s="1"/>
  <c r="AF5" i="3" a="1"/>
  <c r="AF5" i="3" s="1"/>
  <c r="AG5" i="3" s="1"/>
  <c r="AH5" i="3" a="1"/>
  <c r="AH5" i="3" s="1"/>
  <c r="AI5" i="3" s="1"/>
  <c r="AJ5" i="3" a="1"/>
  <c r="AJ5" i="3" s="1"/>
  <c r="AK5" i="3" s="1"/>
  <c r="AL5" i="3" a="1"/>
  <c r="AL5" i="3" s="1"/>
  <c r="AM5" i="3" s="1"/>
  <c r="AN5" i="3" a="1"/>
  <c r="AN5" i="3" s="1"/>
  <c r="AO5" i="3" s="1"/>
  <c r="AP5" i="3" a="1"/>
  <c r="AP5" i="3" s="1"/>
  <c r="AQ5" i="3" s="1"/>
  <c r="F6" i="3" a="1"/>
  <c r="F6" i="3" s="1"/>
  <c r="G6" i="3" s="1"/>
  <c r="H6" i="3" a="1"/>
  <c r="H6" i="3" s="1"/>
  <c r="I6" i="3" s="1"/>
  <c r="J6" i="3" a="1"/>
  <c r="J6" i="3" s="1"/>
  <c r="K6" i="3" s="1"/>
  <c r="L6" i="3" a="1"/>
  <c r="L6" i="3" s="1"/>
  <c r="M6" i="3" s="1"/>
  <c r="N6" i="3" a="1"/>
  <c r="N6" i="3" s="1"/>
  <c r="O6" i="3" s="1"/>
  <c r="P6" i="3" a="1"/>
  <c r="P6" i="3" s="1"/>
  <c r="Q6" i="3" s="1"/>
  <c r="R6" i="3" a="1"/>
  <c r="R6" i="3" s="1"/>
  <c r="S6" i="3" s="1"/>
  <c r="T6" i="3" a="1"/>
  <c r="T6" i="3" s="1"/>
  <c r="U6" i="3" s="1"/>
  <c r="V6" i="3" a="1"/>
  <c r="V6" i="3" s="1"/>
  <c r="W6" i="3" s="1"/>
  <c r="X6" i="3" a="1"/>
  <c r="X6" i="3" s="1"/>
  <c r="Y6" i="3" s="1"/>
  <c r="Z6" i="3" a="1"/>
  <c r="Z6" i="3" s="1"/>
  <c r="AA6" i="3" s="1"/>
  <c r="AB6" i="3" a="1"/>
  <c r="AB6" i="3" s="1"/>
  <c r="AC6" i="3" s="1"/>
  <c r="AD6" i="3" a="1"/>
  <c r="AD6" i="3" s="1"/>
  <c r="AE6" i="3" s="1"/>
  <c r="AF6" i="3" a="1"/>
  <c r="AF6" i="3" s="1"/>
  <c r="AG6" i="3" s="1"/>
  <c r="AH6" i="3" a="1"/>
  <c r="AH6" i="3" s="1"/>
  <c r="AI6" i="3" s="1"/>
  <c r="AJ6" i="3" a="1"/>
  <c r="AJ6" i="3" s="1"/>
  <c r="AK6" i="3" s="1"/>
  <c r="AL6" i="3" a="1"/>
  <c r="AL6" i="3" s="1"/>
  <c r="AM6" i="3" s="1"/>
  <c r="AN6" i="3" a="1"/>
  <c r="AN6" i="3" s="1"/>
  <c r="AO6" i="3" s="1"/>
  <c r="AP6" i="3" a="1"/>
  <c r="AP6" i="3" s="1"/>
  <c r="AQ6" i="3" s="1"/>
  <c r="F7" i="3" a="1"/>
  <c r="F7" i="3" s="1"/>
  <c r="G7" i="3" s="1"/>
  <c r="H7" i="3" a="1"/>
  <c r="H7" i="3" s="1"/>
  <c r="I7" i="3" s="1"/>
  <c r="J7" i="3" a="1"/>
  <c r="J7" i="3" s="1"/>
  <c r="K7" i="3" s="1"/>
  <c r="L7" i="3" a="1"/>
  <c r="L7" i="3" s="1"/>
  <c r="M7" i="3" s="1"/>
  <c r="N7" i="3" a="1"/>
  <c r="N7" i="3" s="1"/>
  <c r="O7" i="3" s="1"/>
  <c r="P7" i="3" a="1"/>
  <c r="P7" i="3" s="1"/>
  <c r="Q7" i="3" s="1"/>
  <c r="R7" i="3" a="1"/>
  <c r="R7" i="3" s="1"/>
  <c r="S7" i="3" s="1"/>
  <c r="T7" i="3" a="1"/>
  <c r="T7" i="3" s="1"/>
  <c r="U7" i="3" s="1"/>
  <c r="V7" i="3" a="1"/>
  <c r="V7" i="3" s="1"/>
  <c r="W7" i="3" s="1"/>
  <c r="X7" i="3" a="1"/>
  <c r="X7" i="3" s="1"/>
  <c r="Y7" i="3" s="1"/>
  <c r="Z7" i="3" a="1"/>
  <c r="Z7" i="3" s="1"/>
  <c r="AA7" i="3" s="1"/>
  <c r="AB7" i="3" a="1"/>
  <c r="AB7" i="3" s="1"/>
  <c r="AC7" i="3" s="1"/>
  <c r="AD7" i="3" a="1"/>
  <c r="AD7" i="3" s="1"/>
  <c r="AE7" i="3" s="1"/>
  <c r="AF7" i="3" a="1"/>
  <c r="AF7" i="3" s="1"/>
  <c r="AG7" i="3" s="1"/>
  <c r="AH7" i="3" a="1"/>
  <c r="AH7" i="3" s="1"/>
  <c r="AI7" i="3" s="1"/>
  <c r="AJ7" i="3" a="1"/>
  <c r="AJ7" i="3" s="1"/>
  <c r="AK7" i="3" s="1"/>
  <c r="AL7" i="3" a="1"/>
  <c r="AL7" i="3" s="1"/>
  <c r="AM7" i="3" s="1"/>
  <c r="AN7" i="3" a="1"/>
  <c r="AN7" i="3" s="1"/>
  <c r="AO7" i="3" s="1"/>
  <c r="AP7" i="3" a="1"/>
  <c r="AP7" i="3" s="1"/>
  <c r="AQ7" i="3" s="1"/>
  <c r="F8" i="3" a="1"/>
  <c r="F8" i="3" s="1"/>
  <c r="G8" i="3" s="1"/>
  <c r="H8" i="3" a="1"/>
  <c r="H8" i="3" s="1"/>
  <c r="I8" i="3" s="1"/>
  <c r="J8" i="3" a="1"/>
  <c r="J8" i="3" s="1"/>
  <c r="K8" i="3" s="1"/>
  <c r="L8" i="3" a="1"/>
  <c r="L8" i="3" s="1"/>
  <c r="M8" i="3" s="1"/>
  <c r="N8" i="3" a="1"/>
  <c r="N8" i="3" s="1"/>
  <c r="O8" i="3" s="1"/>
  <c r="P8" i="3" a="1"/>
  <c r="P8" i="3" s="1"/>
  <c r="Q8" i="3" s="1"/>
  <c r="R8" i="3" a="1"/>
  <c r="R8" i="3" s="1"/>
  <c r="S8" i="3" s="1"/>
  <c r="T8" i="3" a="1"/>
  <c r="T8" i="3" s="1"/>
  <c r="U8" i="3" s="1"/>
  <c r="V8" i="3" a="1"/>
  <c r="V8" i="3" s="1"/>
  <c r="W8" i="3" s="1"/>
  <c r="X8" i="3" a="1"/>
  <c r="X8" i="3" s="1"/>
  <c r="Y8" i="3" s="1"/>
  <c r="Z8" i="3" a="1"/>
  <c r="Z8" i="3" s="1"/>
  <c r="AA8" i="3" s="1"/>
  <c r="AB8" i="3" a="1"/>
  <c r="AB8" i="3" s="1"/>
  <c r="AC8" i="3" s="1"/>
  <c r="AD8" i="3" a="1"/>
  <c r="AD8" i="3" s="1"/>
  <c r="AE8" i="3" s="1"/>
  <c r="AF8" i="3" a="1"/>
  <c r="AF8" i="3" s="1"/>
  <c r="AG8" i="3" s="1"/>
  <c r="AH8" i="3" a="1"/>
  <c r="AH8" i="3" s="1"/>
  <c r="AI8" i="3" s="1"/>
  <c r="AJ8" i="3" a="1"/>
  <c r="AJ8" i="3" s="1"/>
  <c r="AK8" i="3" s="1"/>
  <c r="AL8" i="3" a="1"/>
  <c r="AL8" i="3" s="1"/>
  <c r="AM8" i="3" s="1"/>
  <c r="AN8" i="3" a="1"/>
  <c r="AN8" i="3" s="1"/>
  <c r="AO8" i="3" s="1"/>
  <c r="AP8" i="3" a="1"/>
  <c r="AP8" i="3" s="1"/>
  <c r="AQ8" i="3" s="1"/>
  <c r="F9" i="3" a="1"/>
  <c r="F9" i="3" s="1"/>
  <c r="G9" i="3" s="1"/>
  <c r="H9" i="3" a="1"/>
  <c r="H9" i="3" s="1"/>
  <c r="I9" i="3" s="1"/>
  <c r="J9" i="3" a="1"/>
  <c r="J9" i="3" s="1"/>
  <c r="K9" i="3" s="1"/>
  <c r="L9" i="3" a="1"/>
  <c r="L9" i="3" s="1"/>
  <c r="M9" i="3" s="1"/>
  <c r="N9" i="3" a="1"/>
  <c r="N9" i="3" s="1"/>
  <c r="O9" i="3" s="1"/>
  <c r="P9" i="3" a="1"/>
  <c r="P9" i="3" s="1"/>
  <c r="Q9" i="3" s="1"/>
  <c r="R9" i="3" a="1"/>
  <c r="R9" i="3" s="1"/>
  <c r="S9" i="3" s="1"/>
  <c r="T9" i="3" a="1"/>
  <c r="T9" i="3" s="1"/>
  <c r="U9" i="3" s="1"/>
  <c r="V9" i="3" a="1"/>
  <c r="V9" i="3" s="1"/>
  <c r="W9" i="3" s="1"/>
  <c r="X9" i="3" a="1"/>
  <c r="X9" i="3" s="1"/>
  <c r="Y9" i="3" s="1"/>
  <c r="Z9" i="3" a="1"/>
  <c r="Z9" i="3" s="1"/>
  <c r="AA9" i="3" s="1"/>
  <c r="AB9" i="3" a="1"/>
  <c r="AB9" i="3" s="1"/>
  <c r="AC9" i="3" s="1"/>
  <c r="AD9" i="3" a="1"/>
  <c r="AD9" i="3" s="1"/>
  <c r="AE9" i="3" s="1"/>
  <c r="AF9" i="3" a="1"/>
  <c r="AF9" i="3" s="1"/>
  <c r="AG9" i="3" s="1"/>
  <c r="AH9" i="3" a="1"/>
  <c r="AH9" i="3" s="1"/>
  <c r="AI9" i="3" s="1"/>
  <c r="AJ9" i="3" a="1"/>
  <c r="AJ9" i="3" s="1"/>
  <c r="AK9" i="3" s="1"/>
  <c r="AL9" i="3" a="1"/>
  <c r="AL9" i="3" s="1"/>
  <c r="AM9" i="3" s="1"/>
  <c r="AN9" i="3" a="1"/>
  <c r="AN9" i="3" s="1"/>
  <c r="AO9" i="3" s="1"/>
  <c r="AP9" i="3" a="1"/>
  <c r="AP9" i="3" s="1"/>
  <c r="AQ9" i="3" s="1"/>
  <c r="F10" i="3" a="1"/>
  <c r="F10" i="3" s="1"/>
  <c r="G10" i="3" s="1"/>
  <c r="H10" i="3" a="1"/>
  <c r="H10" i="3" s="1"/>
  <c r="I10" i="3" s="1"/>
  <c r="J10" i="3" a="1"/>
  <c r="J10" i="3" s="1"/>
  <c r="K10" i="3" s="1"/>
  <c r="L10" i="3" a="1"/>
  <c r="L10" i="3" s="1"/>
  <c r="M10" i="3" s="1"/>
  <c r="N10" i="3" a="1"/>
  <c r="N10" i="3" s="1"/>
  <c r="O10" i="3" s="1"/>
  <c r="P10" i="3" a="1"/>
  <c r="P10" i="3" s="1"/>
  <c r="Q10" i="3" s="1"/>
  <c r="R10" i="3" a="1"/>
  <c r="R10" i="3" s="1"/>
  <c r="S10" i="3" s="1"/>
  <c r="T10" i="3" a="1"/>
  <c r="T10" i="3" s="1"/>
  <c r="U10" i="3" s="1"/>
  <c r="V10" i="3" a="1"/>
  <c r="V10" i="3" s="1"/>
  <c r="W10" i="3" s="1"/>
  <c r="X10" i="3" a="1"/>
  <c r="X10" i="3" s="1"/>
  <c r="Y10" i="3" s="1"/>
  <c r="Z10" i="3" a="1"/>
  <c r="Z10" i="3" s="1"/>
  <c r="AA10" i="3" s="1"/>
  <c r="AB10" i="3" a="1"/>
  <c r="AB10" i="3" s="1"/>
  <c r="AC10" i="3" s="1"/>
  <c r="AD10" i="3" a="1"/>
  <c r="AD10" i="3" s="1"/>
  <c r="AE10" i="3" s="1"/>
  <c r="AF10" i="3" a="1"/>
  <c r="AF10" i="3" s="1"/>
  <c r="AG10" i="3" s="1"/>
  <c r="AH10" i="3" a="1"/>
  <c r="AH10" i="3" s="1"/>
  <c r="AI10" i="3" s="1"/>
  <c r="AJ10" i="3" a="1"/>
  <c r="AJ10" i="3" s="1"/>
  <c r="AK10" i="3" s="1"/>
  <c r="AL10" i="3" a="1"/>
  <c r="AL10" i="3" s="1"/>
  <c r="AM10" i="3" s="1"/>
  <c r="AN10" i="3" a="1"/>
  <c r="AN10" i="3" s="1"/>
  <c r="AO10" i="3" s="1"/>
  <c r="AP10" i="3" a="1"/>
  <c r="AP10" i="3" s="1"/>
  <c r="AQ10" i="3" s="1"/>
  <c r="F11" i="3" a="1"/>
  <c r="F11" i="3" s="1"/>
  <c r="G11" i="3" s="1"/>
  <c r="H11" i="3" a="1"/>
  <c r="H11" i="3" s="1"/>
  <c r="I11" i="3" s="1"/>
  <c r="J11" i="3" a="1"/>
  <c r="J11" i="3" s="1"/>
  <c r="K11" i="3" s="1"/>
  <c r="L11" i="3" a="1"/>
  <c r="L11" i="3" s="1"/>
  <c r="M11" i="3" s="1"/>
  <c r="N11" i="3" a="1"/>
  <c r="N11" i="3" s="1"/>
  <c r="O11" i="3" s="1"/>
  <c r="P11" i="3" a="1"/>
  <c r="P11" i="3" s="1"/>
  <c r="Q11" i="3" s="1"/>
  <c r="R11" i="3" a="1"/>
  <c r="R11" i="3" s="1"/>
  <c r="S11" i="3" s="1"/>
  <c r="T11" i="3" a="1"/>
  <c r="T11" i="3" s="1"/>
  <c r="U11" i="3" s="1"/>
  <c r="V11" i="3" a="1"/>
  <c r="V11" i="3" s="1"/>
  <c r="W11" i="3" s="1"/>
  <c r="X11" i="3" a="1"/>
  <c r="X11" i="3" s="1"/>
  <c r="Y11" i="3" s="1"/>
  <c r="Z11" i="3" a="1"/>
  <c r="Z11" i="3" s="1"/>
  <c r="AA11" i="3" s="1"/>
  <c r="AB11" i="3" a="1"/>
  <c r="AB11" i="3" s="1"/>
  <c r="AC11" i="3" s="1"/>
  <c r="AD11" i="3" a="1"/>
  <c r="AD11" i="3" s="1"/>
  <c r="AE11" i="3" s="1"/>
  <c r="AF11" i="3" a="1"/>
  <c r="AF11" i="3" s="1"/>
  <c r="AG11" i="3" s="1"/>
  <c r="AH11" i="3" a="1"/>
  <c r="AH11" i="3" s="1"/>
  <c r="AI11" i="3" s="1"/>
  <c r="AJ11" i="3" a="1"/>
  <c r="AJ11" i="3" s="1"/>
  <c r="AK11" i="3" s="1"/>
  <c r="AL11" i="3" a="1"/>
  <c r="AL11" i="3" s="1"/>
  <c r="AM11" i="3" s="1"/>
  <c r="AN11" i="3" a="1"/>
  <c r="AN11" i="3" s="1"/>
  <c r="AO11" i="3" s="1"/>
  <c r="AP11" i="3" a="1"/>
  <c r="AP11" i="3" s="1"/>
  <c r="AQ11" i="3" s="1"/>
  <c r="F12" i="3" a="1"/>
  <c r="F12" i="3" s="1"/>
  <c r="G12" i="3" s="1"/>
  <c r="H12" i="3" a="1"/>
  <c r="H12" i="3" s="1"/>
  <c r="I12" i="3" s="1"/>
  <c r="J12" i="3" a="1"/>
  <c r="J12" i="3" s="1"/>
  <c r="K12" i="3" s="1"/>
  <c r="L12" i="3" a="1"/>
  <c r="L12" i="3" s="1"/>
  <c r="M12" i="3" s="1"/>
  <c r="N12" i="3" a="1"/>
  <c r="N12" i="3" s="1"/>
  <c r="O12" i="3" s="1"/>
  <c r="P12" i="3" a="1"/>
  <c r="P12" i="3" s="1"/>
  <c r="Q12" i="3" s="1"/>
  <c r="R12" i="3" a="1"/>
  <c r="R12" i="3" s="1"/>
  <c r="S12" i="3" s="1"/>
  <c r="T12" i="3" a="1"/>
  <c r="T12" i="3" s="1"/>
  <c r="U12" i="3" s="1"/>
  <c r="V12" i="3" a="1"/>
  <c r="V12" i="3" s="1"/>
  <c r="W12" i="3" s="1"/>
  <c r="X12" i="3" a="1"/>
  <c r="X12" i="3" s="1"/>
  <c r="Y12" i="3" s="1"/>
  <c r="Z12" i="3" a="1"/>
  <c r="Z12" i="3" s="1"/>
  <c r="AA12" i="3" s="1"/>
  <c r="AB12" i="3" a="1"/>
  <c r="AB12" i="3" s="1"/>
  <c r="AC12" i="3" s="1"/>
  <c r="AD12" i="3" a="1"/>
  <c r="AD12" i="3" s="1"/>
  <c r="AE12" i="3" s="1"/>
  <c r="AF12" i="3" a="1"/>
  <c r="AF12" i="3" s="1"/>
  <c r="AG12" i="3" s="1"/>
  <c r="AH12" i="3" a="1"/>
  <c r="AH12" i="3" s="1"/>
  <c r="AI12" i="3" s="1"/>
  <c r="AJ12" i="3" a="1"/>
  <c r="AJ12" i="3" s="1"/>
  <c r="AK12" i="3" s="1"/>
  <c r="AL12" i="3" a="1"/>
  <c r="AL12" i="3" s="1"/>
  <c r="AM12" i="3" s="1"/>
  <c r="AN12" i="3" a="1"/>
  <c r="AN12" i="3" s="1"/>
  <c r="AO12" i="3" s="1"/>
  <c r="AP12" i="3" a="1"/>
  <c r="AP12" i="3" s="1"/>
  <c r="AQ12" i="3" s="1"/>
  <c r="F13" i="3" a="1"/>
  <c r="F13" i="3" s="1"/>
  <c r="G13" i="3" s="1"/>
  <c r="H13" i="3" a="1"/>
  <c r="H13" i="3" s="1"/>
  <c r="I13" i="3" s="1"/>
  <c r="J13" i="3" a="1"/>
  <c r="J13" i="3" s="1"/>
  <c r="K13" i="3" s="1"/>
  <c r="L13" i="3" a="1"/>
  <c r="L13" i="3" s="1"/>
  <c r="M13" i="3" s="1"/>
  <c r="N13" i="3" a="1"/>
  <c r="N13" i="3" s="1"/>
  <c r="O13" i="3" s="1"/>
  <c r="P13" i="3" a="1"/>
  <c r="P13" i="3" s="1"/>
  <c r="Q13" i="3" s="1"/>
  <c r="R13" i="3" a="1"/>
  <c r="R13" i="3" s="1"/>
  <c r="S13" i="3" s="1"/>
  <c r="T13" i="3" a="1"/>
  <c r="T13" i="3" s="1"/>
  <c r="U13" i="3" s="1"/>
  <c r="V13" i="3" a="1"/>
  <c r="V13" i="3" s="1"/>
  <c r="W13" i="3" s="1"/>
  <c r="X13" i="3" a="1"/>
  <c r="X13" i="3" s="1"/>
  <c r="Y13" i="3" s="1"/>
  <c r="Z13" i="3" a="1"/>
  <c r="Z13" i="3" s="1"/>
  <c r="AA13" i="3" s="1"/>
  <c r="AB13" i="3" a="1"/>
  <c r="AB13" i="3" s="1"/>
  <c r="AC13" i="3" s="1"/>
  <c r="AD13" i="3" a="1"/>
  <c r="AD13" i="3" s="1"/>
  <c r="AE13" i="3" s="1"/>
  <c r="AF13" i="3" a="1"/>
  <c r="AF13" i="3" s="1"/>
  <c r="AG13" i="3" s="1"/>
  <c r="AH13" i="3" a="1"/>
  <c r="AH13" i="3" s="1"/>
  <c r="AI13" i="3" s="1"/>
  <c r="AJ13" i="3" a="1"/>
  <c r="AJ13" i="3" s="1"/>
  <c r="AK13" i="3" s="1"/>
  <c r="AL13" i="3" a="1"/>
  <c r="AL13" i="3" s="1"/>
  <c r="AM13" i="3" s="1"/>
  <c r="AN13" i="3" a="1"/>
  <c r="AN13" i="3" s="1"/>
  <c r="AO13" i="3" s="1"/>
  <c r="AP13" i="3" a="1"/>
  <c r="AP13" i="3" s="1"/>
  <c r="AQ13" i="3" s="1"/>
  <c r="F14" i="3" a="1"/>
  <c r="F14" i="3" s="1"/>
  <c r="G14" i="3" s="1"/>
  <c r="H14" i="3" a="1"/>
  <c r="H14" i="3" s="1"/>
  <c r="I14" i="3" s="1"/>
  <c r="J14" i="3" a="1"/>
  <c r="J14" i="3" s="1"/>
  <c r="K14" i="3" s="1"/>
  <c r="L14" i="3" a="1"/>
  <c r="L14" i="3" s="1"/>
  <c r="M14" i="3" s="1"/>
  <c r="N14" i="3" a="1"/>
  <c r="N14" i="3" s="1"/>
  <c r="O14" i="3" s="1"/>
  <c r="P14" i="3" a="1"/>
  <c r="P14" i="3" s="1"/>
  <c r="Q14" i="3" s="1"/>
  <c r="R14" i="3" a="1"/>
  <c r="R14" i="3" s="1"/>
  <c r="S14" i="3" s="1"/>
  <c r="T14" i="3" a="1"/>
  <c r="T14" i="3" s="1"/>
  <c r="U14" i="3" s="1"/>
  <c r="V14" i="3" a="1"/>
  <c r="V14" i="3" s="1"/>
  <c r="W14" i="3" s="1"/>
  <c r="X14" i="3" a="1"/>
  <c r="X14" i="3" s="1"/>
  <c r="Y14" i="3" s="1"/>
  <c r="Z14" i="3" a="1"/>
  <c r="Z14" i="3" s="1"/>
  <c r="AA14" i="3" s="1"/>
  <c r="AB14" i="3" a="1"/>
  <c r="AB14" i="3" s="1"/>
  <c r="AC14" i="3" s="1"/>
  <c r="AD14" i="3" a="1"/>
  <c r="AD14" i="3" s="1"/>
  <c r="AE14" i="3" s="1"/>
  <c r="AF14" i="3" a="1"/>
  <c r="AF14" i="3" s="1"/>
  <c r="AG14" i="3" s="1"/>
  <c r="AH14" i="3" a="1"/>
  <c r="AH14" i="3" s="1"/>
  <c r="AI14" i="3" s="1"/>
  <c r="AJ14" i="3" a="1"/>
  <c r="AJ14" i="3" s="1"/>
  <c r="AK14" i="3" s="1"/>
  <c r="AL14" i="3" a="1"/>
  <c r="AL14" i="3" s="1"/>
  <c r="AM14" i="3" s="1"/>
  <c r="AN14" i="3" a="1"/>
  <c r="AN14" i="3" s="1"/>
  <c r="AO14" i="3" s="1"/>
  <c r="AP14" i="3" a="1"/>
  <c r="AP14" i="3" s="1"/>
  <c r="AQ14" i="3" s="1"/>
  <c r="F15" i="3" a="1"/>
  <c r="F15" i="3" s="1"/>
  <c r="G15" i="3" s="1"/>
  <c r="H15" i="3" a="1"/>
  <c r="H15" i="3" s="1"/>
  <c r="I15" i="3" s="1"/>
  <c r="J15" i="3" a="1"/>
  <c r="J15" i="3" s="1"/>
  <c r="K15" i="3" s="1"/>
  <c r="L15" i="3" a="1"/>
  <c r="L15" i="3" s="1"/>
  <c r="M15" i="3" s="1"/>
  <c r="N15" i="3" a="1"/>
  <c r="N15" i="3" s="1"/>
  <c r="O15" i="3" s="1"/>
  <c r="P15" i="3" a="1"/>
  <c r="P15" i="3" s="1"/>
  <c r="Q15" i="3" s="1"/>
  <c r="R15" i="3" a="1"/>
  <c r="R15" i="3" s="1"/>
  <c r="S15" i="3" s="1"/>
  <c r="T15" i="3" a="1"/>
  <c r="T15" i="3" s="1"/>
  <c r="U15" i="3" s="1"/>
  <c r="V15" i="3" a="1"/>
  <c r="V15" i="3" s="1"/>
  <c r="W15" i="3" s="1"/>
  <c r="X15" i="3" a="1"/>
  <c r="X15" i="3" s="1"/>
  <c r="Y15" i="3" s="1"/>
  <c r="Z15" i="3" a="1"/>
  <c r="Z15" i="3" s="1"/>
  <c r="AA15" i="3" s="1"/>
  <c r="AB15" i="3" a="1"/>
  <c r="AB15" i="3" s="1"/>
  <c r="AC15" i="3" s="1"/>
  <c r="AD15" i="3" a="1"/>
  <c r="AD15" i="3" s="1"/>
  <c r="AE15" i="3" s="1"/>
  <c r="AF15" i="3" a="1"/>
  <c r="AF15" i="3" s="1"/>
  <c r="AG15" i="3" s="1"/>
  <c r="AH15" i="3" a="1"/>
  <c r="AH15" i="3" s="1"/>
  <c r="AI15" i="3" s="1"/>
  <c r="AJ15" i="3" a="1"/>
  <c r="AJ15" i="3" s="1"/>
  <c r="AK15" i="3" s="1"/>
  <c r="AL15" i="3" a="1"/>
  <c r="AL15" i="3" s="1"/>
  <c r="AM15" i="3" s="1"/>
  <c r="AN15" i="3" a="1"/>
  <c r="AN15" i="3" s="1"/>
  <c r="AO15" i="3" s="1"/>
  <c r="AP15" i="3" a="1"/>
  <c r="AP15" i="3" s="1"/>
  <c r="AQ15" i="3" s="1"/>
  <c r="F16" i="3" a="1"/>
  <c r="F16" i="3" s="1"/>
  <c r="G16" i="3" s="1"/>
  <c r="H16" i="3" a="1"/>
  <c r="H16" i="3" s="1"/>
  <c r="I16" i="3" s="1"/>
  <c r="J16" i="3" a="1"/>
  <c r="J16" i="3" s="1"/>
  <c r="K16" i="3" s="1"/>
  <c r="L16" i="3" a="1"/>
  <c r="L16" i="3" s="1"/>
  <c r="M16" i="3" s="1"/>
  <c r="N16" i="3" a="1"/>
  <c r="N16" i="3" s="1"/>
  <c r="O16" i="3" s="1"/>
  <c r="P16" i="3" a="1"/>
  <c r="P16" i="3" s="1"/>
  <c r="Q16" i="3" s="1"/>
  <c r="R16" i="3" a="1"/>
  <c r="R16" i="3" s="1"/>
  <c r="S16" i="3" s="1"/>
  <c r="T16" i="3" a="1"/>
  <c r="T16" i="3" s="1"/>
  <c r="U16" i="3" s="1"/>
  <c r="V16" i="3" a="1"/>
  <c r="V16" i="3" s="1"/>
  <c r="W16" i="3" s="1"/>
  <c r="X16" i="3" a="1"/>
  <c r="X16" i="3" s="1"/>
  <c r="Y16" i="3" s="1"/>
  <c r="Z16" i="3" a="1"/>
  <c r="Z16" i="3" s="1"/>
  <c r="AA16" i="3" s="1"/>
  <c r="AB16" i="3" a="1"/>
  <c r="AB16" i="3" s="1"/>
  <c r="AC16" i="3" s="1"/>
  <c r="AD16" i="3" a="1"/>
  <c r="AD16" i="3" s="1"/>
  <c r="AE16" i="3" s="1"/>
  <c r="AF16" i="3" a="1"/>
  <c r="AF16" i="3" s="1"/>
  <c r="AG16" i="3" s="1"/>
  <c r="AH16" i="3" a="1"/>
  <c r="AH16" i="3" s="1"/>
  <c r="AI16" i="3" s="1"/>
  <c r="AJ16" i="3" a="1"/>
  <c r="AJ16" i="3" s="1"/>
  <c r="AK16" i="3" s="1"/>
  <c r="AL16" i="3" a="1"/>
  <c r="AL16" i="3" s="1"/>
  <c r="AM16" i="3" s="1"/>
  <c r="AN16" i="3" a="1"/>
  <c r="AN16" i="3" s="1"/>
  <c r="AO16" i="3" s="1"/>
  <c r="AP16" i="3" a="1"/>
  <c r="AP16" i="3" s="1"/>
  <c r="AQ16" i="3" s="1"/>
  <c r="F17" i="3" a="1"/>
  <c r="F17" i="3" s="1"/>
  <c r="G17" i="3" s="1"/>
  <c r="H17" i="3" a="1"/>
  <c r="H17" i="3" s="1"/>
  <c r="I17" i="3" s="1"/>
  <c r="J17" i="3" a="1"/>
  <c r="J17" i="3" s="1"/>
  <c r="K17" i="3" s="1"/>
  <c r="L17" i="3" a="1"/>
  <c r="L17" i="3" s="1"/>
  <c r="M17" i="3" s="1"/>
  <c r="N17" i="3" a="1"/>
  <c r="N17" i="3" s="1"/>
  <c r="O17" i="3" s="1"/>
  <c r="P17" i="3" a="1"/>
  <c r="P17" i="3" s="1"/>
  <c r="Q17" i="3" s="1"/>
  <c r="R17" i="3" a="1"/>
  <c r="R17" i="3" s="1"/>
  <c r="S17" i="3" s="1"/>
  <c r="T17" i="3" a="1"/>
  <c r="T17" i="3" s="1"/>
  <c r="U17" i="3" s="1"/>
  <c r="V17" i="3" a="1"/>
  <c r="V17" i="3" s="1"/>
  <c r="W17" i="3" s="1"/>
  <c r="X17" i="3" a="1"/>
  <c r="X17" i="3" s="1"/>
  <c r="Y17" i="3" s="1"/>
  <c r="Z17" i="3" a="1"/>
  <c r="Z17" i="3" s="1"/>
  <c r="AA17" i="3" s="1"/>
  <c r="AB17" i="3" a="1"/>
  <c r="AB17" i="3" s="1"/>
  <c r="AC17" i="3" s="1"/>
  <c r="AD17" i="3" a="1"/>
  <c r="AD17" i="3" s="1"/>
  <c r="AE17" i="3" s="1"/>
  <c r="AF17" i="3" a="1"/>
  <c r="AF17" i="3" s="1"/>
  <c r="AG17" i="3" s="1"/>
  <c r="AH17" i="3" a="1"/>
  <c r="AH17" i="3" s="1"/>
  <c r="AI17" i="3" s="1"/>
  <c r="AJ17" i="3" a="1"/>
  <c r="AJ17" i="3" s="1"/>
  <c r="AK17" i="3" s="1"/>
  <c r="AL17" i="3" a="1"/>
  <c r="AL17" i="3" s="1"/>
  <c r="AM17" i="3" s="1"/>
  <c r="AN17" i="3" a="1"/>
  <c r="AN17" i="3" s="1"/>
  <c r="AO17" i="3" s="1"/>
  <c r="AP17" i="3" a="1"/>
  <c r="AP17" i="3" s="1"/>
  <c r="AQ17" i="3" s="1"/>
  <c r="F18" i="3" a="1"/>
  <c r="F18" i="3" s="1"/>
  <c r="G18" i="3" s="1"/>
  <c r="H18" i="3" a="1"/>
  <c r="H18" i="3" s="1"/>
  <c r="I18" i="3" s="1"/>
  <c r="J18" i="3" a="1"/>
  <c r="J18" i="3" s="1"/>
  <c r="K18" i="3" s="1"/>
  <c r="L18" i="3" a="1"/>
  <c r="L18" i="3" s="1"/>
  <c r="M18" i="3" s="1"/>
  <c r="N18" i="3" a="1"/>
  <c r="N18" i="3" s="1"/>
  <c r="O18" i="3" s="1"/>
  <c r="P18" i="3" a="1"/>
  <c r="P18" i="3" s="1"/>
  <c r="Q18" i="3" s="1"/>
  <c r="R18" i="3" a="1"/>
  <c r="R18" i="3" s="1"/>
  <c r="S18" i="3" s="1"/>
  <c r="T18" i="3" a="1"/>
  <c r="T18" i="3" s="1"/>
  <c r="U18" i="3" s="1"/>
  <c r="V18" i="3" a="1"/>
  <c r="V18" i="3" s="1"/>
  <c r="W18" i="3" s="1"/>
  <c r="X18" i="3" a="1"/>
  <c r="X18" i="3" s="1"/>
  <c r="Y18" i="3" s="1"/>
  <c r="Z18" i="3" a="1"/>
  <c r="Z18" i="3" s="1"/>
  <c r="AA18" i="3" s="1"/>
  <c r="AB18" i="3" a="1"/>
  <c r="AB18" i="3" s="1"/>
  <c r="AC18" i="3" s="1"/>
  <c r="AD18" i="3" a="1"/>
  <c r="AD18" i="3" s="1"/>
  <c r="AE18" i="3" s="1"/>
  <c r="AF18" i="3" a="1"/>
  <c r="AF18" i="3" s="1"/>
  <c r="AG18" i="3" s="1"/>
  <c r="AH18" i="3" a="1"/>
  <c r="AH18" i="3" s="1"/>
  <c r="AI18" i="3" s="1"/>
  <c r="AJ18" i="3" a="1"/>
  <c r="AJ18" i="3" s="1"/>
  <c r="AK18" i="3" s="1"/>
  <c r="AL18" i="3" a="1"/>
  <c r="AL18" i="3" s="1"/>
  <c r="AM18" i="3" s="1"/>
  <c r="AN18" i="3" a="1"/>
  <c r="AN18" i="3" s="1"/>
  <c r="AO18" i="3" s="1"/>
  <c r="AP18" i="3" a="1"/>
  <c r="AP18" i="3" s="1"/>
  <c r="AQ18" i="3" s="1"/>
  <c r="F19" i="3" a="1"/>
  <c r="F19" i="3" s="1"/>
  <c r="G19" i="3" s="1"/>
  <c r="H19" i="3" a="1"/>
  <c r="H19" i="3" s="1"/>
  <c r="I19" i="3" s="1"/>
  <c r="J19" i="3" a="1"/>
  <c r="J19" i="3" s="1"/>
  <c r="K19" i="3" s="1"/>
  <c r="L19" i="3" a="1"/>
  <c r="L19" i="3" s="1"/>
  <c r="M19" i="3" s="1"/>
  <c r="N19" i="3" a="1"/>
  <c r="N19" i="3" s="1"/>
  <c r="O19" i="3" s="1"/>
  <c r="P19" i="3" a="1"/>
  <c r="P19" i="3" s="1"/>
  <c r="Q19" i="3" s="1"/>
  <c r="R19" i="3" a="1"/>
  <c r="R19" i="3" s="1"/>
  <c r="S19" i="3" s="1"/>
  <c r="T19" i="3" a="1"/>
  <c r="T19" i="3" s="1"/>
  <c r="U19" i="3" s="1"/>
  <c r="V19" i="3" a="1"/>
  <c r="V19" i="3" s="1"/>
  <c r="W19" i="3" s="1"/>
  <c r="X19" i="3" a="1"/>
  <c r="X19" i="3" s="1"/>
  <c r="Y19" i="3" s="1"/>
  <c r="Z19" i="3" a="1"/>
  <c r="Z19" i="3" s="1"/>
  <c r="AA19" i="3" s="1"/>
  <c r="AB19" i="3" a="1"/>
  <c r="AB19" i="3" s="1"/>
  <c r="AC19" i="3" s="1"/>
  <c r="AD19" i="3" a="1"/>
  <c r="AD19" i="3" s="1"/>
  <c r="AE19" i="3" s="1"/>
  <c r="AF19" i="3" a="1"/>
  <c r="AF19" i="3" s="1"/>
  <c r="AG19" i="3" s="1"/>
  <c r="AH19" i="3" a="1"/>
  <c r="AH19" i="3" s="1"/>
  <c r="AI19" i="3" s="1"/>
  <c r="AJ19" i="3" a="1"/>
  <c r="AJ19" i="3" s="1"/>
  <c r="AK19" i="3" s="1"/>
  <c r="AL19" i="3" a="1"/>
  <c r="AL19" i="3" s="1"/>
  <c r="AM19" i="3" s="1"/>
  <c r="AN19" i="3" a="1"/>
  <c r="AN19" i="3" s="1"/>
  <c r="AO19" i="3" s="1"/>
  <c r="AP19" i="3" a="1"/>
  <c r="AP19" i="3" s="1"/>
  <c r="AQ19" i="3" s="1"/>
  <c r="F20" i="3" a="1"/>
  <c r="F20" i="3" s="1"/>
  <c r="G20" i="3" s="1"/>
  <c r="H20" i="3" a="1"/>
  <c r="H20" i="3" s="1"/>
  <c r="I20" i="3" s="1"/>
  <c r="J20" i="3" a="1"/>
  <c r="J20" i="3" s="1"/>
  <c r="K20" i="3" s="1"/>
  <c r="L20" i="3" a="1"/>
  <c r="L20" i="3" s="1"/>
  <c r="M20" i="3" s="1"/>
  <c r="N20" i="3" a="1"/>
  <c r="N20" i="3" s="1"/>
  <c r="O20" i="3" s="1"/>
  <c r="P20" i="3" a="1"/>
  <c r="P20" i="3" s="1"/>
  <c r="Q20" i="3" s="1"/>
  <c r="R20" i="3" a="1"/>
  <c r="R20" i="3" s="1"/>
  <c r="S20" i="3" s="1"/>
  <c r="T20" i="3" a="1"/>
  <c r="T20" i="3" s="1"/>
  <c r="U20" i="3" s="1"/>
  <c r="V20" i="3" a="1"/>
  <c r="V20" i="3" s="1"/>
  <c r="W20" i="3" s="1"/>
  <c r="X20" i="3" a="1"/>
  <c r="X20" i="3" s="1"/>
  <c r="Y20" i="3" s="1"/>
  <c r="Z20" i="3" a="1"/>
  <c r="Z20" i="3" s="1"/>
  <c r="AA20" i="3" s="1"/>
  <c r="AB20" i="3" a="1"/>
  <c r="AB20" i="3" s="1"/>
  <c r="AC20" i="3" s="1"/>
  <c r="AD20" i="3" a="1"/>
  <c r="AD20" i="3" s="1"/>
  <c r="AE20" i="3" s="1"/>
  <c r="AF20" i="3" a="1"/>
  <c r="AF20" i="3" s="1"/>
  <c r="AG20" i="3" s="1"/>
  <c r="AH20" i="3" a="1"/>
  <c r="AH20" i="3" s="1"/>
  <c r="AI20" i="3" s="1"/>
  <c r="AJ20" i="3" a="1"/>
  <c r="AJ20" i="3" s="1"/>
  <c r="AK20" i="3" s="1"/>
  <c r="AL20" i="3" a="1"/>
  <c r="AL20" i="3" s="1"/>
  <c r="AM20" i="3" s="1"/>
  <c r="AN20" i="3" a="1"/>
  <c r="AN20" i="3" s="1"/>
  <c r="AO20" i="3" s="1"/>
  <c r="AP20" i="3" a="1"/>
  <c r="AP20" i="3" s="1"/>
  <c r="AQ20" i="3" s="1"/>
  <c r="F21" i="3" a="1"/>
  <c r="F21" i="3" s="1"/>
  <c r="G21" i="3" s="1"/>
  <c r="H21" i="3" a="1"/>
  <c r="H21" i="3" s="1"/>
  <c r="I21" i="3" s="1"/>
  <c r="J21" i="3" a="1"/>
  <c r="J21" i="3" s="1"/>
  <c r="K21" i="3" s="1"/>
  <c r="L21" i="3" a="1"/>
  <c r="L21" i="3" s="1"/>
  <c r="M21" i="3" s="1"/>
  <c r="N21" i="3" a="1"/>
  <c r="N21" i="3" s="1"/>
  <c r="O21" i="3" s="1"/>
  <c r="P21" i="3" a="1"/>
  <c r="P21" i="3" s="1"/>
  <c r="Q21" i="3" s="1"/>
  <c r="R21" i="3" a="1"/>
  <c r="R21" i="3" s="1"/>
  <c r="S21" i="3" s="1"/>
  <c r="T21" i="3" a="1"/>
  <c r="T21" i="3" s="1"/>
  <c r="U21" i="3" s="1"/>
  <c r="V21" i="3" a="1"/>
  <c r="V21" i="3" s="1"/>
  <c r="W21" i="3" s="1"/>
  <c r="X21" i="3" a="1"/>
  <c r="X21" i="3" s="1"/>
  <c r="Y21" i="3" s="1"/>
  <c r="Z21" i="3" a="1"/>
  <c r="Z21" i="3" s="1"/>
  <c r="AA21" i="3" s="1"/>
  <c r="AB21" i="3" a="1"/>
  <c r="AB21" i="3" s="1"/>
  <c r="AC21" i="3" s="1"/>
  <c r="AD21" i="3" a="1"/>
  <c r="AD21" i="3" s="1"/>
  <c r="AE21" i="3" s="1"/>
  <c r="AF21" i="3" a="1"/>
  <c r="AF21" i="3" s="1"/>
  <c r="AG21" i="3" s="1"/>
  <c r="AH21" i="3" a="1"/>
  <c r="AH21" i="3" s="1"/>
  <c r="AI21" i="3" s="1"/>
  <c r="AJ21" i="3" a="1"/>
  <c r="AJ21" i="3" s="1"/>
  <c r="AK21" i="3" s="1"/>
  <c r="AL21" i="3" a="1"/>
  <c r="AL21" i="3" s="1"/>
  <c r="AM21" i="3" s="1"/>
  <c r="AN21" i="3" a="1"/>
  <c r="AN21" i="3" s="1"/>
  <c r="AO21" i="3" s="1"/>
  <c r="AP21" i="3" a="1"/>
  <c r="AP21" i="3" s="1"/>
  <c r="AQ21" i="3" s="1"/>
  <c r="F22" i="3" a="1"/>
  <c r="F22" i="3" s="1"/>
  <c r="G22" i="3" s="1"/>
  <c r="H22" i="3" a="1"/>
  <c r="H22" i="3" s="1"/>
  <c r="I22" i="3" s="1"/>
  <c r="J22" i="3" a="1"/>
  <c r="J22" i="3" s="1"/>
  <c r="K22" i="3" s="1"/>
  <c r="L22" i="3" a="1"/>
  <c r="L22" i="3" s="1"/>
  <c r="M22" i="3" s="1"/>
  <c r="N22" i="3" a="1"/>
  <c r="N22" i="3" s="1"/>
  <c r="O22" i="3" s="1"/>
  <c r="P22" i="3" a="1"/>
  <c r="P22" i="3" s="1"/>
  <c r="Q22" i="3" s="1"/>
  <c r="R22" i="3" a="1"/>
  <c r="R22" i="3" s="1"/>
  <c r="S22" i="3" s="1"/>
  <c r="T22" i="3" a="1"/>
  <c r="T22" i="3" s="1"/>
  <c r="U22" i="3" s="1"/>
  <c r="V22" i="3" a="1"/>
  <c r="V22" i="3" s="1"/>
  <c r="W22" i="3" s="1"/>
  <c r="X22" i="3" a="1"/>
  <c r="X22" i="3" s="1"/>
  <c r="Y22" i="3" s="1"/>
  <c r="Z22" i="3" a="1"/>
  <c r="Z22" i="3" s="1"/>
  <c r="AA22" i="3" s="1"/>
  <c r="AB22" i="3" a="1"/>
  <c r="AB22" i="3" s="1"/>
  <c r="AC22" i="3" s="1"/>
  <c r="AD22" i="3" a="1"/>
  <c r="AD22" i="3" s="1"/>
  <c r="AE22" i="3" s="1"/>
  <c r="AF22" i="3" a="1"/>
  <c r="AF22" i="3" s="1"/>
  <c r="AG22" i="3" s="1"/>
  <c r="AH22" i="3" a="1"/>
  <c r="AH22" i="3" s="1"/>
  <c r="AI22" i="3" s="1"/>
  <c r="AJ22" i="3" a="1"/>
  <c r="AJ22" i="3" s="1"/>
  <c r="AK22" i="3" s="1"/>
  <c r="AL22" i="3" a="1"/>
  <c r="AL22" i="3" s="1"/>
  <c r="AM22" i="3" s="1"/>
  <c r="AN22" i="3" a="1"/>
  <c r="AN22" i="3" s="1"/>
  <c r="AO22" i="3" s="1"/>
  <c r="AP22" i="3" a="1"/>
  <c r="AP22" i="3" s="1"/>
  <c r="AQ22" i="3" s="1"/>
  <c r="F23" i="3" a="1"/>
  <c r="F23" i="3" s="1"/>
  <c r="G23" i="3" s="1"/>
  <c r="H23" i="3" a="1"/>
  <c r="H23" i="3" s="1"/>
  <c r="I23" i="3" s="1"/>
  <c r="J23" i="3" a="1"/>
  <c r="J23" i="3" s="1"/>
  <c r="K23" i="3" s="1"/>
  <c r="L23" i="3" a="1"/>
  <c r="L23" i="3" s="1"/>
  <c r="M23" i="3" s="1"/>
  <c r="N23" i="3" a="1"/>
  <c r="N23" i="3" s="1"/>
  <c r="O23" i="3" s="1"/>
  <c r="P23" i="3" a="1"/>
  <c r="P23" i="3" s="1"/>
  <c r="Q23" i="3" s="1"/>
  <c r="R23" i="3" a="1"/>
  <c r="R23" i="3" s="1"/>
  <c r="S23" i="3" s="1"/>
  <c r="T23" i="3" a="1"/>
  <c r="T23" i="3" s="1"/>
  <c r="U23" i="3" s="1"/>
  <c r="V23" i="3" a="1"/>
  <c r="V23" i="3" s="1"/>
  <c r="W23" i="3" s="1"/>
  <c r="X23" i="3" a="1"/>
  <c r="X23" i="3" s="1"/>
  <c r="Y23" i="3" s="1"/>
  <c r="Z23" i="3" a="1"/>
  <c r="Z23" i="3" s="1"/>
  <c r="AA23" i="3" s="1"/>
  <c r="AB23" i="3" a="1"/>
  <c r="AB23" i="3" s="1"/>
  <c r="AC23" i="3" s="1"/>
  <c r="AD23" i="3" a="1"/>
  <c r="AD23" i="3" s="1"/>
  <c r="AE23" i="3" s="1"/>
  <c r="AF23" i="3" a="1"/>
  <c r="AF23" i="3" s="1"/>
  <c r="AG23" i="3" s="1"/>
  <c r="AH23" i="3" a="1"/>
  <c r="AH23" i="3" s="1"/>
  <c r="AI23" i="3" s="1"/>
  <c r="AJ23" i="3" a="1"/>
  <c r="AJ23" i="3" s="1"/>
  <c r="AK23" i="3" s="1"/>
  <c r="AL23" i="3" a="1"/>
  <c r="AL23" i="3" s="1"/>
  <c r="AM23" i="3" s="1"/>
  <c r="AN23" i="3" a="1"/>
  <c r="AN23" i="3" s="1"/>
  <c r="AO23" i="3" s="1"/>
  <c r="AP23" i="3" a="1"/>
  <c r="AP23" i="3" s="1"/>
  <c r="AQ23" i="3" s="1"/>
  <c r="F24" i="3" a="1"/>
  <c r="F24" i="3" s="1"/>
  <c r="G24" i="3" s="1"/>
  <c r="H24" i="3" a="1"/>
  <c r="H24" i="3" s="1"/>
  <c r="I24" i="3" s="1"/>
  <c r="J24" i="3" a="1"/>
  <c r="J24" i="3" s="1"/>
  <c r="K24" i="3" s="1"/>
  <c r="L24" i="3" a="1"/>
  <c r="L24" i="3" s="1"/>
  <c r="M24" i="3" s="1"/>
  <c r="N24" i="3" a="1"/>
  <c r="N24" i="3" s="1"/>
  <c r="O24" i="3" s="1"/>
  <c r="P24" i="3" a="1"/>
  <c r="P24" i="3" s="1"/>
  <c r="Q24" i="3" s="1"/>
  <c r="R24" i="3" a="1"/>
  <c r="R24" i="3" s="1"/>
  <c r="S24" i="3" s="1"/>
  <c r="T24" i="3" a="1"/>
  <c r="T24" i="3" s="1"/>
  <c r="U24" i="3" s="1"/>
  <c r="V24" i="3" a="1"/>
  <c r="V24" i="3" s="1"/>
  <c r="W24" i="3" s="1"/>
  <c r="X24" i="3" a="1"/>
  <c r="X24" i="3" s="1"/>
  <c r="Y24" i="3" s="1"/>
  <c r="Z24" i="3" a="1"/>
  <c r="Z24" i="3" s="1"/>
  <c r="AA24" i="3" s="1"/>
  <c r="AB24" i="3" a="1"/>
  <c r="AB24" i="3" s="1"/>
  <c r="AC24" i="3" s="1"/>
  <c r="AD24" i="3" a="1"/>
  <c r="AD24" i="3" s="1"/>
  <c r="AE24" i="3" s="1"/>
  <c r="AF24" i="3" a="1"/>
  <c r="AF24" i="3" s="1"/>
  <c r="AG24" i="3" s="1"/>
  <c r="AH24" i="3" a="1"/>
  <c r="AH24" i="3" s="1"/>
  <c r="AI24" i="3" s="1"/>
  <c r="AJ24" i="3" a="1"/>
  <c r="AJ24" i="3" s="1"/>
  <c r="AK24" i="3" s="1"/>
  <c r="AL24" i="3" a="1"/>
  <c r="AL24" i="3" s="1"/>
  <c r="AM24" i="3" s="1"/>
  <c r="AN24" i="3" a="1"/>
  <c r="AN24" i="3" s="1"/>
  <c r="AO24" i="3" s="1"/>
  <c r="AP24" i="3" a="1"/>
  <c r="AP24" i="3" s="1"/>
  <c r="AQ24" i="3" s="1"/>
  <c r="F25" i="3" a="1"/>
  <c r="F25" i="3" s="1"/>
  <c r="G25" i="3" s="1"/>
  <c r="H25" i="3" a="1"/>
  <c r="H25" i="3" s="1"/>
  <c r="I25" i="3" s="1"/>
  <c r="J25" i="3" a="1"/>
  <c r="J25" i="3" s="1"/>
  <c r="K25" i="3" s="1"/>
  <c r="L25" i="3" a="1"/>
  <c r="L25" i="3" s="1"/>
  <c r="M25" i="3" s="1"/>
  <c r="N25" i="3" a="1"/>
  <c r="N25" i="3" s="1"/>
  <c r="O25" i="3" s="1"/>
  <c r="P25" i="3" a="1"/>
  <c r="P25" i="3" s="1"/>
  <c r="Q25" i="3" s="1"/>
  <c r="R25" i="3" a="1"/>
  <c r="R25" i="3" s="1"/>
  <c r="S25" i="3" s="1"/>
  <c r="T25" i="3" a="1"/>
  <c r="T25" i="3" s="1"/>
  <c r="U25" i="3" s="1"/>
  <c r="V25" i="3" a="1"/>
  <c r="V25" i="3" s="1"/>
  <c r="W25" i="3" s="1"/>
  <c r="X25" i="3" a="1"/>
  <c r="X25" i="3" s="1"/>
  <c r="Y25" i="3" s="1"/>
  <c r="Z25" i="3" a="1"/>
  <c r="Z25" i="3" s="1"/>
  <c r="AA25" i="3" s="1"/>
  <c r="AB25" i="3" a="1"/>
  <c r="AB25" i="3" s="1"/>
  <c r="AC25" i="3" s="1"/>
  <c r="AD25" i="3" a="1"/>
  <c r="AD25" i="3" s="1"/>
  <c r="AE25" i="3" s="1"/>
  <c r="AF25" i="3" a="1"/>
  <c r="AF25" i="3" s="1"/>
  <c r="AG25" i="3" s="1"/>
  <c r="AH25" i="3" a="1"/>
  <c r="AH25" i="3" s="1"/>
  <c r="AI25" i="3" s="1"/>
  <c r="AJ25" i="3" a="1"/>
  <c r="AJ25" i="3" s="1"/>
  <c r="AK25" i="3" s="1"/>
  <c r="AL25" i="3" a="1"/>
  <c r="AL25" i="3" s="1"/>
  <c r="AM25" i="3" s="1"/>
  <c r="AN25" i="3" a="1"/>
  <c r="AN25" i="3" s="1"/>
  <c r="AO25" i="3" s="1"/>
  <c r="AP25" i="3" a="1"/>
  <c r="AP25" i="3" s="1"/>
  <c r="AQ25" i="3" s="1"/>
  <c r="F26" i="3" a="1"/>
  <c r="F26" i="3" s="1"/>
  <c r="G26" i="3" s="1"/>
  <c r="H26" i="3" a="1"/>
  <c r="H26" i="3" s="1"/>
  <c r="I26" i="3" s="1"/>
  <c r="J26" i="3" a="1"/>
  <c r="J26" i="3" s="1"/>
  <c r="K26" i="3" s="1"/>
  <c r="L26" i="3" a="1"/>
  <c r="L26" i="3" s="1"/>
  <c r="M26" i="3" s="1"/>
  <c r="N26" i="3" a="1"/>
  <c r="N26" i="3" s="1"/>
  <c r="O26" i="3" s="1"/>
  <c r="P26" i="3" a="1"/>
  <c r="P26" i="3" s="1"/>
  <c r="Q26" i="3" s="1"/>
  <c r="R26" i="3" a="1"/>
  <c r="R26" i="3" s="1"/>
  <c r="S26" i="3" s="1"/>
  <c r="T26" i="3" a="1"/>
  <c r="T26" i="3" s="1"/>
  <c r="U26" i="3" s="1"/>
  <c r="V26" i="3" a="1"/>
  <c r="V26" i="3" s="1"/>
  <c r="W26" i="3" s="1"/>
  <c r="X26" i="3" a="1"/>
  <c r="X26" i="3" s="1"/>
  <c r="Y26" i="3" s="1"/>
  <c r="Z26" i="3" a="1"/>
  <c r="Z26" i="3" s="1"/>
  <c r="AA26" i="3" s="1"/>
  <c r="AB26" i="3" a="1"/>
  <c r="AB26" i="3" s="1"/>
  <c r="AC26" i="3" s="1"/>
  <c r="AD26" i="3" a="1"/>
  <c r="AD26" i="3" s="1"/>
  <c r="AE26" i="3" s="1"/>
  <c r="AF26" i="3" a="1"/>
  <c r="AF26" i="3" s="1"/>
  <c r="AG26" i="3" s="1"/>
  <c r="AH26" i="3" a="1"/>
  <c r="AH26" i="3" s="1"/>
  <c r="AI26" i="3" s="1"/>
  <c r="AJ26" i="3" a="1"/>
  <c r="AJ26" i="3" s="1"/>
  <c r="AK26" i="3" s="1"/>
  <c r="AL26" i="3" a="1"/>
  <c r="AL26" i="3" s="1"/>
  <c r="AM26" i="3" s="1"/>
  <c r="AN26" i="3" a="1"/>
  <c r="AN26" i="3" s="1"/>
  <c r="AO26" i="3" s="1"/>
  <c r="AP26" i="3" a="1"/>
  <c r="AP26" i="3" s="1"/>
  <c r="AQ26" i="3" s="1"/>
  <c r="F27" i="3" a="1"/>
  <c r="F27" i="3" s="1"/>
  <c r="G27" i="3" s="1"/>
  <c r="H27" i="3" a="1"/>
  <c r="H27" i="3" s="1"/>
  <c r="I27" i="3" s="1"/>
  <c r="J27" i="3" a="1"/>
  <c r="J27" i="3" s="1"/>
  <c r="K27" i="3" s="1"/>
  <c r="L27" i="3" a="1"/>
  <c r="L27" i="3" s="1"/>
  <c r="M27" i="3" s="1"/>
  <c r="N27" i="3" a="1"/>
  <c r="N27" i="3" s="1"/>
  <c r="O27" i="3" s="1"/>
  <c r="P27" i="3" a="1"/>
  <c r="P27" i="3" s="1"/>
  <c r="Q27" i="3" s="1"/>
  <c r="R27" i="3" a="1"/>
  <c r="R27" i="3" s="1"/>
  <c r="S27" i="3" s="1"/>
  <c r="T27" i="3" a="1"/>
  <c r="T27" i="3" s="1"/>
  <c r="U27" i="3" s="1"/>
  <c r="V27" i="3" a="1"/>
  <c r="V27" i="3" s="1"/>
  <c r="W27" i="3" s="1"/>
  <c r="X27" i="3" a="1"/>
  <c r="X27" i="3" s="1"/>
  <c r="Y27" i="3" s="1"/>
  <c r="Z27" i="3" a="1"/>
  <c r="Z27" i="3" s="1"/>
  <c r="AA27" i="3" s="1"/>
  <c r="AB27" i="3" a="1"/>
  <c r="AB27" i="3" s="1"/>
  <c r="AC27" i="3" s="1"/>
  <c r="AD27" i="3" a="1"/>
  <c r="AD27" i="3" s="1"/>
  <c r="AE27" i="3" s="1"/>
  <c r="AF27" i="3" a="1"/>
  <c r="AF27" i="3" s="1"/>
  <c r="AG27" i="3" s="1"/>
  <c r="AH27" i="3" a="1"/>
  <c r="AH27" i="3" s="1"/>
  <c r="AI27" i="3" s="1"/>
  <c r="AJ27" i="3" a="1"/>
  <c r="AJ27" i="3" s="1"/>
  <c r="AK27" i="3" s="1"/>
  <c r="AL27" i="3" a="1"/>
  <c r="AL27" i="3" s="1"/>
  <c r="AM27" i="3" s="1"/>
  <c r="AN27" i="3" a="1"/>
  <c r="AN27" i="3" s="1"/>
  <c r="AO27" i="3" s="1"/>
  <c r="AP27" i="3" a="1"/>
  <c r="AP27" i="3" s="1"/>
  <c r="AQ27" i="3" s="1"/>
  <c r="F28" i="3" a="1"/>
  <c r="F28" i="3" s="1"/>
  <c r="G28" i="3" s="1"/>
  <c r="H28" i="3" a="1"/>
  <c r="H28" i="3" s="1"/>
  <c r="I28" i="3" s="1"/>
  <c r="J28" i="3" a="1"/>
  <c r="J28" i="3" s="1"/>
  <c r="K28" i="3" s="1"/>
  <c r="L28" i="3" a="1"/>
  <c r="L28" i="3" s="1"/>
  <c r="M28" i="3" s="1"/>
  <c r="N28" i="3" a="1"/>
  <c r="N28" i="3" s="1"/>
  <c r="O28" i="3" s="1"/>
  <c r="P28" i="3" a="1"/>
  <c r="P28" i="3" s="1"/>
  <c r="Q28" i="3" s="1"/>
  <c r="R28" i="3" a="1"/>
  <c r="R28" i="3" s="1"/>
  <c r="S28" i="3" s="1"/>
  <c r="T28" i="3" a="1"/>
  <c r="T28" i="3" s="1"/>
  <c r="U28" i="3" s="1"/>
  <c r="V28" i="3" a="1"/>
  <c r="V28" i="3" s="1"/>
  <c r="W28" i="3" s="1"/>
  <c r="X28" i="3" a="1"/>
  <c r="X28" i="3" s="1"/>
  <c r="Y28" i="3" s="1"/>
  <c r="Z28" i="3" a="1"/>
  <c r="Z28" i="3" s="1"/>
  <c r="AA28" i="3" s="1"/>
  <c r="AB28" i="3" a="1"/>
  <c r="AB28" i="3" s="1"/>
  <c r="AC28" i="3" s="1"/>
  <c r="AD28" i="3" a="1"/>
  <c r="AD28" i="3" s="1"/>
  <c r="AE28" i="3" s="1"/>
  <c r="AF28" i="3" a="1"/>
  <c r="AF28" i="3" s="1"/>
  <c r="AG28" i="3" s="1"/>
  <c r="AH28" i="3" a="1"/>
  <c r="AH28" i="3" s="1"/>
  <c r="AI28" i="3" s="1"/>
  <c r="AJ28" i="3" a="1"/>
  <c r="AJ28" i="3" s="1"/>
  <c r="AK28" i="3" s="1"/>
  <c r="AL28" i="3" a="1"/>
  <c r="AL28" i="3" s="1"/>
  <c r="AM28" i="3" s="1"/>
  <c r="AN28" i="3" a="1"/>
  <c r="AN28" i="3" s="1"/>
  <c r="AO28" i="3" s="1"/>
  <c r="AP28" i="3" a="1"/>
  <c r="AP28" i="3" s="1"/>
  <c r="AQ28" i="3" s="1"/>
  <c r="F29" i="3" a="1"/>
  <c r="F29" i="3" s="1"/>
  <c r="G29" i="3" s="1"/>
  <c r="H29" i="3" a="1"/>
  <c r="H29" i="3" s="1"/>
  <c r="I29" i="3" s="1"/>
  <c r="J29" i="3" a="1"/>
  <c r="J29" i="3" s="1"/>
  <c r="K29" i="3" s="1"/>
  <c r="L29" i="3" a="1"/>
  <c r="L29" i="3" s="1"/>
  <c r="M29" i="3" s="1"/>
  <c r="N29" i="3" a="1"/>
  <c r="N29" i="3" s="1"/>
  <c r="O29" i="3" s="1"/>
  <c r="P29" i="3" a="1"/>
  <c r="P29" i="3" s="1"/>
  <c r="Q29" i="3" s="1"/>
  <c r="R29" i="3" a="1"/>
  <c r="R29" i="3" s="1"/>
  <c r="S29" i="3" s="1"/>
  <c r="T29" i="3" a="1"/>
  <c r="T29" i="3" s="1"/>
  <c r="U29" i="3" s="1"/>
  <c r="V29" i="3" a="1"/>
  <c r="V29" i="3" s="1"/>
  <c r="W29" i="3" s="1"/>
  <c r="X29" i="3" a="1"/>
  <c r="X29" i="3" s="1"/>
  <c r="Y29" i="3" s="1"/>
  <c r="Z29" i="3" a="1"/>
  <c r="Z29" i="3" s="1"/>
  <c r="AA29" i="3" s="1"/>
  <c r="AB29" i="3" a="1"/>
  <c r="AB29" i="3" s="1"/>
  <c r="AC29" i="3" s="1"/>
  <c r="AD29" i="3" a="1"/>
  <c r="AD29" i="3" s="1"/>
  <c r="AE29" i="3" s="1"/>
  <c r="AF29" i="3" a="1"/>
  <c r="AF29" i="3" s="1"/>
  <c r="AG29" i="3" s="1"/>
  <c r="AH29" i="3" a="1"/>
  <c r="AH29" i="3" s="1"/>
  <c r="AI29" i="3" s="1"/>
  <c r="AJ29" i="3" a="1"/>
  <c r="AJ29" i="3" s="1"/>
  <c r="AK29" i="3" s="1"/>
  <c r="AL29" i="3" a="1"/>
  <c r="AL29" i="3" s="1"/>
  <c r="AM29" i="3" s="1"/>
  <c r="AN29" i="3" a="1"/>
  <c r="AN29" i="3" s="1"/>
  <c r="AO29" i="3" s="1"/>
  <c r="AP29" i="3" a="1"/>
  <c r="AP29" i="3" s="1"/>
  <c r="AQ29" i="3" s="1"/>
  <c r="F30" i="3" a="1"/>
  <c r="F30" i="3" s="1"/>
  <c r="G30" i="3" s="1"/>
  <c r="H30" i="3" a="1"/>
  <c r="H30" i="3" s="1"/>
  <c r="I30" i="3" s="1"/>
  <c r="J30" i="3" a="1"/>
  <c r="J30" i="3" s="1"/>
  <c r="K30" i="3" s="1"/>
  <c r="L30" i="3" a="1"/>
  <c r="L30" i="3" s="1"/>
  <c r="M30" i="3" s="1"/>
  <c r="N30" i="3" a="1"/>
  <c r="N30" i="3" s="1"/>
  <c r="O30" i="3" s="1"/>
  <c r="P30" i="3" a="1"/>
  <c r="P30" i="3" s="1"/>
  <c r="Q30" i="3" s="1"/>
  <c r="R30" i="3" a="1"/>
  <c r="R30" i="3" s="1"/>
  <c r="S30" i="3" s="1"/>
  <c r="T30" i="3" a="1"/>
  <c r="T30" i="3" s="1"/>
  <c r="U30" i="3" s="1"/>
  <c r="V30" i="3" a="1"/>
  <c r="V30" i="3" s="1"/>
  <c r="W30" i="3" s="1"/>
  <c r="X30" i="3" a="1"/>
  <c r="X30" i="3" s="1"/>
  <c r="Y30" i="3" s="1"/>
  <c r="Z30" i="3" a="1"/>
  <c r="Z30" i="3" s="1"/>
  <c r="AA30" i="3" s="1"/>
  <c r="AB30" i="3" a="1"/>
  <c r="AB30" i="3" s="1"/>
  <c r="AC30" i="3" s="1"/>
  <c r="AD30" i="3" a="1"/>
  <c r="AD30" i="3" s="1"/>
  <c r="AE30" i="3" s="1"/>
  <c r="AF30" i="3" a="1"/>
  <c r="AF30" i="3" s="1"/>
  <c r="AG30" i="3" s="1"/>
  <c r="AH30" i="3" a="1"/>
  <c r="AH30" i="3" s="1"/>
  <c r="AI30" i="3" s="1"/>
  <c r="AJ30" i="3" a="1"/>
  <c r="AJ30" i="3" s="1"/>
  <c r="AK30" i="3" s="1"/>
  <c r="AL30" i="3" a="1"/>
  <c r="AL30" i="3" s="1"/>
  <c r="AM30" i="3" s="1"/>
  <c r="AN30" i="3" a="1"/>
  <c r="AN30" i="3" s="1"/>
  <c r="AO30" i="3" s="1"/>
  <c r="AP30" i="3" a="1"/>
  <c r="AP30" i="3" s="1"/>
  <c r="AQ30" i="3" s="1"/>
  <c r="F31" i="3" a="1"/>
  <c r="F31" i="3" s="1"/>
  <c r="G31" i="3" s="1"/>
  <c r="H31" i="3" a="1"/>
  <c r="H31" i="3" s="1"/>
  <c r="I31" i="3" s="1"/>
  <c r="J31" i="3" a="1"/>
  <c r="J31" i="3" s="1"/>
  <c r="K31" i="3" s="1"/>
  <c r="L31" i="3" a="1"/>
  <c r="L31" i="3" s="1"/>
  <c r="M31" i="3" s="1"/>
  <c r="N31" i="3" a="1"/>
  <c r="N31" i="3" s="1"/>
  <c r="O31" i="3" s="1"/>
  <c r="P31" i="3" a="1"/>
  <c r="P31" i="3" s="1"/>
  <c r="Q31" i="3" s="1"/>
  <c r="R31" i="3" a="1"/>
  <c r="R31" i="3" s="1"/>
  <c r="S31" i="3" s="1"/>
  <c r="T31" i="3" a="1"/>
  <c r="T31" i="3" s="1"/>
  <c r="U31" i="3" s="1"/>
  <c r="V31" i="3" a="1"/>
  <c r="V31" i="3" s="1"/>
  <c r="W31" i="3" s="1"/>
  <c r="X31" i="3" a="1"/>
  <c r="X31" i="3" s="1"/>
  <c r="Y31" i="3" s="1"/>
  <c r="Z31" i="3" a="1"/>
  <c r="Z31" i="3" s="1"/>
  <c r="AA31" i="3" s="1"/>
  <c r="AB31" i="3" a="1"/>
  <c r="AB31" i="3" s="1"/>
  <c r="AC31" i="3" s="1"/>
  <c r="AD31" i="3" a="1"/>
  <c r="AD31" i="3" s="1"/>
  <c r="AE31" i="3" s="1"/>
  <c r="AF31" i="3" a="1"/>
  <c r="AF31" i="3" s="1"/>
  <c r="AG31" i="3" s="1"/>
  <c r="AH31" i="3" a="1"/>
  <c r="AH31" i="3" s="1"/>
  <c r="AI31" i="3" s="1"/>
  <c r="AJ31" i="3" a="1"/>
  <c r="AJ31" i="3" s="1"/>
  <c r="AK31" i="3" s="1"/>
  <c r="AL31" i="3" a="1"/>
  <c r="AL31" i="3" s="1"/>
  <c r="AM31" i="3" s="1"/>
  <c r="AN31" i="3" a="1"/>
  <c r="AN31" i="3" s="1"/>
  <c r="AO31" i="3" s="1"/>
  <c r="AP31" i="3" a="1"/>
  <c r="AP31" i="3" s="1"/>
  <c r="AQ31" i="3" s="1"/>
  <c r="F32" i="3" a="1"/>
  <c r="F32" i="3" s="1"/>
  <c r="G32" i="3" s="1"/>
  <c r="H32" i="3" a="1"/>
  <c r="H32" i="3" s="1"/>
  <c r="I32" i="3" s="1"/>
  <c r="J32" i="3" a="1"/>
  <c r="J32" i="3" s="1"/>
  <c r="K32" i="3" s="1"/>
  <c r="L32" i="3" a="1"/>
  <c r="L32" i="3" s="1"/>
  <c r="M32" i="3" s="1"/>
  <c r="N32" i="3" a="1"/>
  <c r="N32" i="3" s="1"/>
  <c r="O32" i="3" s="1"/>
  <c r="P32" i="3" a="1"/>
  <c r="P32" i="3" s="1"/>
  <c r="Q32" i="3" s="1"/>
  <c r="R32" i="3" a="1"/>
  <c r="R32" i="3" s="1"/>
  <c r="S32" i="3" s="1"/>
  <c r="T32" i="3" a="1"/>
  <c r="T32" i="3" s="1"/>
  <c r="U32" i="3" s="1"/>
  <c r="V32" i="3" a="1"/>
  <c r="V32" i="3" s="1"/>
  <c r="W32" i="3" s="1"/>
  <c r="X32" i="3" a="1"/>
  <c r="X32" i="3" s="1"/>
  <c r="Y32" i="3" s="1"/>
  <c r="Z32" i="3" a="1"/>
  <c r="Z32" i="3" s="1"/>
  <c r="AA32" i="3" s="1"/>
  <c r="AB32" i="3" a="1"/>
  <c r="AB32" i="3" s="1"/>
  <c r="AC32" i="3" s="1"/>
  <c r="AD32" i="3" a="1"/>
  <c r="AD32" i="3" s="1"/>
  <c r="AE32" i="3" s="1"/>
  <c r="AF32" i="3" a="1"/>
  <c r="AF32" i="3" s="1"/>
  <c r="AG32" i="3" s="1"/>
  <c r="AH32" i="3" a="1"/>
  <c r="AH32" i="3" s="1"/>
  <c r="AI32" i="3" s="1"/>
  <c r="AJ32" i="3" a="1"/>
  <c r="AJ32" i="3" s="1"/>
  <c r="AK32" i="3" s="1"/>
  <c r="AL32" i="3" a="1"/>
  <c r="AL32" i="3" s="1"/>
  <c r="AM32" i="3" s="1"/>
  <c r="AN32" i="3" a="1"/>
  <c r="AN32" i="3" s="1"/>
  <c r="AO32" i="3" s="1"/>
  <c r="AP32" i="3" a="1"/>
  <c r="AP32" i="3" s="1"/>
  <c r="AQ32" i="3" s="1"/>
  <c r="F33" i="3" a="1"/>
  <c r="F33" i="3" s="1"/>
  <c r="G33" i="3" s="1"/>
  <c r="H33" i="3" a="1"/>
  <c r="H33" i="3" s="1"/>
  <c r="I33" i="3" s="1"/>
  <c r="J33" i="3" a="1"/>
  <c r="J33" i="3" s="1"/>
  <c r="K33" i="3" s="1"/>
  <c r="L33" i="3" a="1"/>
  <c r="L33" i="3" s="1"/>
  <c r="M33" i="3" s="1"/>
  <c r="N33" i="3" a="1"/>
  <c r="N33" i="3" s="1"/>
  <c r="O33" i="3" s="1"/>
  <c r="P33" i="3" a="1"/>
  <c r="P33" i="3" s="1"/>
  <c r="Q33" i="3" s="1"/>
  <c r="R33" i="3" a="1"/>
  <c r="R33" i="3" s="1"/>
  <c r="S33" i="3" s="1"/>
  <c r="T33" i="3" a="1"/>
  <c r="T33" i="3" s="1"/>
  <c r="U33" i="3" s="1"/>
  <c r="V33" i="3" a="1"/>
  <c r="V33" i="3" s="1"/>
  <c r="W33" i="3" s="1"/>
  <c r="X33" i="3" a="1"/>
  <c r="X33" i="3" s="1"/>
  <c r="Y33" i="3" s="1"/>
  <c r="Z33" i="3" a="1"/>
  <c r="Z33" i="3" s="1"/>
  <c r="AA33" i="3" s="1"/>
  <c r="AB33" i="3" a="1"/>
  <c r="AB33" i="3" s="1"/>
  <c r="AC33" i="3" s="1"/>
  <c r="AD33" i="3" a="1"/>
  <c r="AD33" i="3" s="1"/>
  <c r="AE33" i="3" s="1"/>
  <c r="AF33" i="3" a="1"/>
  <c r="AF33" i="3" s="1"/>
  <c r="AG33" i="3" s="1"/>
  <c r="AH33" i="3" a="1"/>
  <c r="AH33" i="3" s="1"/>
  <c r="AI33" i="3" s="1"/>
  <c r="AJ33" i="3" a="1"/>
  <c r="AJ33" i="3" s="1"/>
  <c r="AK33" i="3" s="1"/>
  <c r="AL33" i="3" a="1"/>
  <c r="AL33" i="3" s="1"/>
  <c r="AM33" i="3" s="1"/>
  <c r="AN33" i="3" a="1"/>
  <c r="AN33" i="3" s="1"/>
  <c r="AO33" i="3" s="1"/>
  <c r="AP33" i="3" a="1"/>
  <c r="AP33" i="3" s="1"/>
  <c r="AQ33" i="3" s="1"/>
  <c r="F34" i="3" a="1"/>
  <c r="F34" i="3" s="1"/>
  <c r="G34" i="3" s="1"/>
  <c r="H34" i="3" a="1"/>
  <c r="H34" i="3" s="1"/>
  <c r="I34" i="3" s="1"/>
  <c r="J34" i="3" a="1"/>
  <c r="J34" i="3" s="1"/>
  <c r="K34" i="3" s="1"/>
  <c r="L34" i="3" a="1"/>
  <c r="L34" i="3" s="1"/>
  <c r="M34" i="3" s="1"/>
  <c r="N34" i="3" a="1"/>
  <c r="N34" i="3" s="1"/>
  <c r="O34" i="3" s="1"/>
  <c r="P34" i="3" a="1"/>
  <c r="P34" i="3" s="1"/>
  <c r="Q34" i="3" s="1"/>
  <c r="R34" i="3" a="1"/>
  <c r="R34" i="3" s="1"/>
  <c r="S34" i="3" s="1"/>
  <c r="T34" i="3" a="1"/>
  <c r="T34" i="3" s="1"/>
  <c r="U34" i="3" s="1"/>
  <c r="V34" i="3" a="1"/>
  <c r="V34" i="3" s="1"/>
  <c r="W34" i="3" s="1"/>
  <c r="X34" i="3" a="1"/>
  <c r="X34" i="3" s="1"/>
  <c r="Y34" i="3" s="1"/>
  <c r="Z34" i="3" a="1"/>
  <c r="Z34" i="3" s="1"/>
  <c r="AA34" i="3" s="1"/>
  <c r="AB34" i="3" a="1"/>
  <c r="AB34" i="3" s="1"/>
  <c r="AC34" i="3" s="1"/>
  <c r="AD34" i="3" a="1"/>
  <c r="AD34" i="3" s="1"/>
  <c r="AE34" i="3" s="1"/>
  <c r="AF34" i="3" a="1"/>
  <c r="AF34" i="3" s="1"/>
  <c r="AG34" i="3" s="1"/>
  <c r="AH34" i="3" a="1"/>
  <c r="AH34" i="3" s="1"/>
  <c r="AI34" i="3" s="1"/>
  <c r="AJ34" i="3" a="1"/>
  <c r="AJ34" i="3" s="1"/>
  <c r="AK34" i="3" s="1"/>
  <c r="AL34" i="3" a="1"/>
  <c r="AL34" i="3" s="1"/>
  <c r="AM34" i="3" s="1"/>
  <c r="AN34" i="3" a="1"/>
  <c r="AN34" i="3" s="1"/>
  <c r="AO34" i="3" s="1"/>
  <c r="AP34" i="3" a="1"/>
  <c r="AP34" i="3" s="1"/>
  <c r="AQ34" i="3" s="1"/>
  <c r="F35" i="3" a="1"/>
  <c r="F35" i="3" s="1"/>
  <c r="G35" i="3" s="1"/>
  <c r="H35" i="3" a="1"/>
  <c r="H35" i="3" s="1"/>
  <c r="I35" i="3" s="1"/>
  <c r="J35" i="3" a="1"/>
  <c r="J35" i="3" s="1"/>
  <c r="K35" i="3" s="1"/>
  <c r="L35" i="3" a="1"/>
  <c r="L35" i="3" s="1"/>
  <c r="M35" i="3" s="1"/>
  <c r="N35" i="3" a="1"/>
  <c r="N35" i="3" s="1"/>
  <c r="O35" i="3" s="1"/>
  <c r="P35" i="3" a="1"/>
  <c r="P35" i="3" s="1"/>
  <c r="Q35" i="3" s="1"/>
  <c r="R35" i="3" a="1"/>
  <c r="R35" i="3" s="1"/>
  <c r="S35" i="3" s="1"/>
  <c r="T35" i="3" a="1"/>
  <c r="T35" i="3" s="1"/>
  <c r="U35" i="3" s="1"/>
  <c r="V35" i="3" a="1"/>
  <c r="V35" i="3" s="1"/>
  <c r="W35" i="3" s="1"/>
  <c r="X35" i="3" a="1"/>
  <c r="X35" i="3" s="1"/>
  <c r="Y35" i="3" s="1"/>
  <c r="Z35" i="3" a="1"/>
  <c r="Z35" i="3" s="1"/>
  <c r="AA35" i="3" s="1"/>
  <c r="AB35" i="3" a="1"/>
  <c r="AB35" i="3" s="1"/>
  <c r="AC35" i="3" s="1"/>
  <c r="AD35" i="3" a="1"/>
  <c r="AD35" i="3" s="1"/>
  <c r="AE35" i="3" s="1"/>
  <c r="AF35" i="3" a="1"/>
  <c r="AF35" i="3" s="1"/>
  <c r="AG35" i="3" s="1"/>
  <c r="AH35" i="3" a="1"/>
  <c r="AH35" i="3" s="1"/>
  <c r="AI35" i="3" s="1"/>
  <c r="AJ35" i="3" a="1"/>
  <c r="AJ35" i="3" s="1"/>
  <c r="AK35" i="3" s="1"/>
  <c r="AL35" i="3" a="1"/>
  <c r="AL35" i="3" s="1"/>
  <c r="AM35" i="3" s="1"/>
  <c r="AN35" i="3" a="1"/>
  <c r="AN35" i="3" s="1"/>
  <c r="AO35" i="3" s="1"/>
  <c r="AP35" i="3" a="1"/>
  <c r="AP35" i="3" s="1"/>
  <c r="AQ35" i="3" s="1"/>
  <c r="F36" i="3" a="1"/>
  <c r="F36" i="3" s="1"/>
  <c r="G36" i="3" s="1"/>
  <c r="H36" i="3" a="1"/>
  <c r="H36" i="3" s="1"/>
  <c r="I36" i="3" s="1"/>
  <c r="J36" i="3" a="1"/>
  <c r="J36" i="3" s="1"/>
  <c r="K36" i="3" s="1"/>
  <c r="L36" i="3" a="1"/>
  <c r="L36" i="3" s="1"/>
  <c r="M36" i="3" s="1"/>
  <c r="N36" i="3" a="1"/>
  <c r="N36" i="3" s="1"/>
  <c r="O36" i="3" s="1"/>
  <c r="P36" i="3" a="1"/>
  <c r="P36" i="3" s="1"/>
  <c r="Q36" i="3" s="1"/>
  <c r="R36" i="3" a="1"/>
  <c r="R36" i="3" s="1"/>
  <c r="S36" i="3" s="1"/>
  <c r="T36" i="3" a="1"/>
  <c r="T36" i="3" s="1"/>
  <c r="U36" i="3" s="1"/>
  <c r="V36" i="3" a="1"/>
  <c r="V36" i="3" s="1"/>
  <c r="W36" i="3" s="1"/>
  <c r="X36" i="3" a="1"/>
  <c r="X36" i="3" s="1"/>
  <c r="Y36" i="3" s="1"/>
  <c r="Z36" i="3" a="1"/>
  <c r="Z36" i="3" s="1"/>
  <c r="AA36" i="3" s="1"/>
  <c r="AB36" i="3" a="1"/>
  <c r="AB36" i="3" s="1"/>
  <c r="AC36" i="3" s="1"/>
  <c r="AD36" i="3" a="1"/>
  <c r="AD36" i="3" s="1"/>
  <c r="AE36" i="3" s="1"/>
  <c r="AF36" i="3" a="1"/>
  <c r="AF36" i="3" s="1"/>
  <c r="AG36" i="3" s="1"/>
  <c r="AH36" i="3" a="1"/>
  <c r="AH36" i="3" s="1"/>
  <c r="AI36" i="3" s="1"/>
  <c r="AJ36" i="3" a="1"/>
  <c r="AJ36" i="3" s="1"/>
  <c r="AK36" i="3" s="1"/>
  <c r="AL36" i="3" a="1"/>
  <c r="AL36" i="3" s="1"/>
  <c r="AM36" i="3" s="1"/>
  <c r="AN36" i="3" a="1"/>
  <c r="AN36" i="3" s="1"/>
  <c r="AO36" i="3" s="1"/>
  <c r="AP36" i="3" a="1"/>
  <c r="AP36" i="3" s="1"/>
  <c r="AQ36" i="3" s="1"/>
  <c r="F37" i="3" a="1"/>
  <c r="F37" i="3" s="1"/>
  <c r="G37" i="3" s="1"/>
  <c r="H37" i="3" a="1"/>
  <c r="H37" i="3" s="1"/>
  <c r="I37" i="3" s="1"/>
  <c r="J37" i="3" a="1"/>
  <c r="J37" i="3" s="1"/>
  <c r="K37" i="3" s="1"/>
  <c r="L37" i="3" a="1"/>
  <c r="L37" i="3" s="1"/>
  <c r="M37" i="3" s="1"/>
  <c r="N37" i="3" a="1"/>
  <c r="N37" i="3" s="1"/>
  <c r="O37" i="3" s="1"/>
  <c r="P37" i="3" a="1"/>
  <c r="P37" i="3" s="1"/>
  <c r="Q37" i="3" s="1"/>
  <c r="R37" i="3" a="1"/>
  <c r="R37" i="3" s="1"/>
  <c r="S37" i="3" s="1"/>
  <c r="T37" i="3" a="1"/>
  <c r="T37" i="3" s="1"/>
  <c r="U37" i="3" s="1"/>
  <c r="V37" i="3" a="1"/>
  <c r="V37" i="3" s="1"/>
  <c r="W37" i="3" s="1"/>
  <c r="X37" i="3" a="1"/>
  <c r="X37" i="3" s="1"/>
  <c r="Y37" i="3" s="1"/>
  <c r="Z37" i="3" a="1"/>
  <c r="Z37" i="3" s="1"/>
  <c r="AA37" i="3" s="1"/>
  <c r="AB37" i="3" a="1"/>
  <c r="AB37" i="3" s="1"/>
  <c r="AC37" i="3" s="1"/>
  <c r="AD37" i="3" a="1"/>
  <c r="AD37" i="3" s="1"/>
  <c r="AE37" i="3" s="1"/>
  <c r="AF37" i="3" a="1"/>
  <c r="AF37" i="3" s="1"/>
  <c r="AG37" i="3" s="1"/>
  <c r="AH37" i="3" a="1"/>
  <c r="AH37" i="3" s="1"/>
  <c r="AI37" i="3" s="1"/>
  <c r="AJ37" i="3" a="1"/>
  <c r="AJ37" i="3" s="1"/>
  <c r="AK37" i="3" s="1"/>
  <c r="AL37" i="3" a="1"/>
  <c r="AL37" i="3" s="1"/>
  <c r="AM37" i="3" s="1"/>
  <c r="AN37" i="3" a="1"/>
  <c r="AN37" i="3" s="1"/>
  <c r="AO37" i="3" s="1"/>
  <c r="AP37" i="3" a="1"/>
  <c r="AP37" i="3" s="1"/>
  <c r="AQ37" i="3" s="1"/>
  <c r="F38" i="3" a="1"/>
  <c r="F38" i="3" s="1"/>
  <c r="G38" i="3" s="1"/>
  <c r="H38" i="3" a="1"/>
  <c r="H38" i="3" s="1"/>
  <c r="I38" i="3" s="1"/>
  <c r="J38" i="3" a="1"/>
  <c r="J38" i="3" s="1"/>
  <c r="K38" i="3" s="1"/>
  <c r="L38" i="3" a="1"/>
  <c r="L38" i="3" s="1"/>
  <c r="M38" i="3" s="1"/>
  <c r="N38" i="3" a="1"/>
  <c r="N38" i="3" s="1"/>
  <c r="O38" i="3" s="1"/>
  <c r="P38" i="3" a="1"/>
  <c r="P38" i="3" s="1"/>
  <c r="Q38" i="3" s="1"/>
  <c r="R38" i="3" a="1"/>
  <c r="R38" i="3" s="1"/>
  <c r="S38" i="3" s="1"/>
  <c r="T38" i="3" a="1"/>
  <c r="T38" i="3" s="1"/>
  <c r="U38" i="3" s="1"/>
  <c r="V38" i="3" a="1"/>
  <c r="V38" i="3" s="1"/>
  <c r="W38" i="3" s="1"/>
  <c r="X38" i="3" a="1"/>
  <c r="X38" i="3" s="1"/>
  <c r="Y38" i="3" s="1"/>
  <c r="Z38" i="3" a="1"/>
  <c r="Z38" i="3" s="1"/>
  <c r="AA38" i="3" s="1"/>
  <c r="AB38" i="3" a="1"/>
  <c r="AB38" i="3" s="1"/>
  <c r="AC38" i="3" s="1"/>
  <c r="AD38" i="3" a="1"/>
  <c r="AD38" i="3" s="1"/>
  <c r="AE38" i="3" s="1"/>
  <c r="AF38" i="3" a="1"/>
  <c r="AF38" i="3" s="1"/>
  <c r="AG38" i="3" s="1"/>
  <c r="AH38" i="3" a="1"/>
  <c r="AH38" i="3" s="1"/>
  <c r="AI38" i="3" s="1"/>
  <c r="AJ38" i="3" a="1"/>
  <c r="AJ38" i="3" s="1"/>
  <c r="AK38" i="3" s="1"/>
  <c r="AL38" i="3" a="1"/>
  <c r="AL38" i="3" s="1"/>
  <c r="AM38" i="3" s="1"/>
  <c r="AN38" i="3" a="1"/>
  <c r="AN38" i="3" s="1"/>
  <c r="AO38" i="3" s="1"/>
  <c r="AP38" i="3" a="1"/>
  <c r="AP38" i="3" s="1"/>
  <c r="AQ38" i="3" s="1"/>
  <c r="F39" i="3" a="1"/>
  <c r="F39" i="3" s="1"/>
  <c r="G39" i="3" s="1"/>
  <c r="H39" i="3" a="1"/>
  <c r="H39" i="3" s="1"/>
  <c r="I39" i="3" s="1"/>
  <c r="J39" i="3" a="1"/>
  <c r="J39" i="3" s="1"/>
  <c r="K39" i="3" s="1"/>
  <c r="L39" i="3" a="1"/>
  <c r="L39" i="3" s="1"/>
  <c r="M39" i="3" s="1"/>
  <c r="N39" i="3" a="1"/>
  <c r="N39" i="3" s="1"/>
  <c r="O39" i="3" s="1"/>
  <c r="P39" i="3" a="1"/>
  <c r="P39" i="3" s="1"/>
  <c r="Q39" i="3" s="1"/>
  <c r="R39" i="3" a="1"/>
  <c r="R39" i="3" s="1"/>
  <c r="S39" i="3" s="1"/>
  <c r="T39" i="3" a="1"/>
  <c r="T39" i="3" s="1"/>
  <c r="U39" i="3" s="1"/>
  <c r="V39" i="3" a="1"/>
  <c r="V39" i="3" s="1"/>
  <c r="W39" i="3" s="1"/>
  <c r="X39" i="3" a="1"/>
  <c r="X39" i="3" s="1"/>
  <c r="Y39" i="3" s="1"/>
  <c r="Z39" i="3" a="1"/>
  <c r="Z39" i="3" s="1"/>
  <c r="AA39" i="3" s="1"/>
  <c r="AB39" i="3" a="1"/>
  <c r="AB39" i="3" s="1"/>
  <c r="AC39" i="3" s="1"/>
  <c r="AD39" i="3" a="1"/>
  <c r="AD39" i="3" s="1"/>
  <c r="AE39" i="3" s="1"/>
  <c r="AF39" i="3" a="1"/>
  <c r="AF39" i="3" s="1"/>
  <c r="AG39" i="3" s="1"/>
  <c r="AH39" i="3" a="1"/>
  <c r="AH39" i="3" s="1"/>
  <c r="AI39" i="3" s="1"/>
  <c r="AJ39" i="3" a="1"/>
  <c r="AJ39" i="3" s="1"/>
  <c r="AK39" i="3" s="1"/>
  <c r="AL39" i="3" a="1"/>
  <c r="AL39" i="3" s="1"/>
  <c r="AM39" i="3" s="1"/>
  <c r="AN39" i="3" a="1"/>
  <c r="AN39" i="3" s="1"/>
  <c r="AO39" i="3" s="1"/>
  <c r="AP39" i="3" a="1"/>
  <c r="AP39" i="3" s="1"/>
  <c r="AQ39" i="3" s="1"/>
  <c r="F40" i="3" a="1"/>
  <c r="F40" i="3" s="1"/>
  <c r="G40" i="3" s="1"/>
  <c r="H40" i="3" a="1"/>
  <c r="H40" i="3" s="1"/>
  <c r="I40" i="3" s="1"/>
  <c r="J40" i="3" a="1"/>
  <c r="J40" i="3" s="1"/>
  <c r="K40" i="3" s="1"/>
  <c r="L40" i="3" a="1"/>
  <c r="L40" i="3" s="1"/>
  <c r="M40" i="3" s="1"/>
  <c r="N40" i="3" a="1"/>
  <c r="N40" i="3" s="1"/>
  <c r="O40" i="3" s="1"/>
  <c r="P40" i="3" a="1"/>
  <c r="P40" i="3" s="1"/>
  <c r="Q40" i="3" s="1"/>
  <c r="R40" i="3" a="1"/>
  <c r="R40" i="3" s="1"/>
  <c r="S40" i="3" s="1"/>
  <c r="T40" i="3" a="1"/>
  <c r="T40" i="3" s="1"/>
  <c r="U40" i="3" s="1"/>
  <c r="V40" i="3" a="1"/>
  <c r="V40" i="3" s="1"/>
  <c r="W40" i="3" s="1"/>
  <c r="X40" i="3" a="1"/>
  <c r="X40" i="3" s="1"/>
  <c r="Y40" i="3" s="1"/>
  <c r="Z40" i="3" a="1"/>
  <c r="Z40" i="3" s="1"/>
  <c r="AA40" i="3" s="1"/>
  <c r="AB40" i="3" a="1"/>
  <c r="AB40" i="3" s="1"/>
  <c r="AC40" i="3" s="1"/>
  <c r="AD40" i="3" a="1"/>
  <c r="AD40" i="3" s="1"/>
  <c r="AE40" i="3" s="1"/>
  <c r="AF40" i="3" a="1"/>
  <c r="AF40" i="3" s="1"/>
  <c r="AG40" i="3" s="1"/>
  <c r="AH40" i="3" a="1"/>
  <c r="AH40" i="3" s="1"/>
  <c r="AI40" i="3" s="1"/>
  <c r="AJ40" i="3" a="1"/>
  <c r="AJ40" i="3" s="1"/>
  <c r="AK40" i="3" s="1"/>
  <c r="AL40" i="3" a="1"/>
  <c r="AL40" i="3" s="1"/>
  <c r="AM40" i="3" s="1"/>
  <c r="AN40" i="3" a="1"/>
  <c r="AN40" i="3" s="1"/>
  <c r="AO40" i="3" s="1"/>
  <c r="AP40" i="3" a="1"/>
  <c r="AP40" i="3" s="1"/>
  <c r="AQ40" i="3" s="1"/>
  <c r="F41" i="3" a="1"/>
  <c r="F41" i="3" s="1"/>
  <c r="G41" i="3" s="1"/>
  <c r="H41" i="3" a="1"/>
  <c r="H41" i="3" s="1"/>
  <c r="I41" i="3" s="1"/>
  <c r="J41" i="3" a="1"/>
  <c r="J41" i="3" s="1"/>
  <c r="K41" i="3" s="1"/>
  <c r="L41" i="3" a="1"/>
  <c r="L41" i="3" s="1"/>
  <c r="M41" i="3" s="1"/>
  <c r="N41" i="3" a="1"/>
  <c r="N41" i="3" s="1"/>
  <c r="O41" i="3" s="1"/>
  <c r="P41" i="3" a="1"/>
  <c r="P41" i="3" s="1"/>
  <c r="Q41" i="3" s="1"/>
  <c r="R41" i="3" a="1"/>
  <c r="R41" i="3" s="1"/>
  <c r="S41" i="3" s="1"/>
  <c r="T41" i="3" a="1"/>
  <c r="T41" i="3" s="1"/>
  <c r="U41" i="3" s="1"/>
  <c r="V41" i="3" a="1"/>
  <c r="V41" i="3" s="1"/>
  <c r="W41" i="3" s="1"/>
  <c r="X41" i="3" a="1"/>
  <c r="X41" i="3" s="1"/>
  <c r="Y41" i="3" s="1"/>
  <c r="Z41" i="3" a="1"/>
  <c r="Z41" i="3" s="1"/>
  <c r="AA41" i="3" s="1"/>
  <c r="AB41" i="3" a="1"/>
  <c r="AB41" i="3" s="1"/>
  <c r="AC41" i="3" s="1"/>
  <c r="AD41" i="3" a="1"/>
  <c r="AD41" i="3" s="1"/>
  <c r="AE41" i="3" s="1"/>
  <c r="AF41" i="3" a="1"/>
  <c r="AF41" i="3" s="1"/>
  <c r="AG41" i="3" s="1"/>
  <c r="AH41" i="3" a="1"/>
  <c r="AH41" i="3" s="1"/>
  <c r="AI41" i="3" s="1"/>
  <c r="AJ41" i="3" a="1"/>
  <c r="AJ41" i="3" s="1"/>
  <c r="AK41" i="3" s="1"/>
  <c r="AL41" i="3" a="1"/>
  <c r="AL41" i="3" s="1"/>
  <c r="AM41" i="3" s="1"/>
  <c r="AN41" i="3" a="1"/>
  <c r="AN41" i="3" s="1"/>
  <c r="AO41" i="3" s="1"/>
  <c r="AP41" i="3" a="1"/>
  <c r="AP41" i="3" s="1"/>
  <c r="AQ41" i="3" s="1"/>
  <c r="F42" i="3" a="1"/>
  <c r="F42" i="3" s="1"/>
  <c r="G42" i="3" s="1"/>
  <c r="H42" i="3" a="1"/>
  <c r="H42" i="3" s="1"/>
  <c r="I42" i="3" s="1"/>
  <c r="J42" i="3" a="1"/>
  <c r="J42" i="3" s="1"/>
  <c r="K42" i="3" s="1"/>
  <c r="L42" i="3" a="1"/>
  <c r="L42" i="3" s="1"/>
  <c r="M42" i="3" s="1"/>
  <c r="N42" i="3" a="1"/>
  <c r="N42" i="3" s="1"/>
  <c r="O42" i="3" s="1"/>
  <c r="P42" i="3" a="1"/>
  <c r="P42" i="3" s="1"/>
  <c r="Q42" i="3" s="1"/>
  <c r="R42" i="3" a="1"/>
  <c r="R42" i="3" s="1"/>
  <c r="S42" i="3" s="1"/>
  <c r="T42" i="3" a="1"/>
  <c r="T42" i="3" s="1"/>
  <c r="U42" i="3" s="1"/>
  <c r="V42" i="3" a="1"/>
  <c r="V42" i="3" s="1"/>
  <c r="W42" i="3" s="1"/>
  <c r="X42" i="3" a="1"/>
  <c r="X42" i="3" s="1"/>
  <c r="Y42" i="3" s="1"/>
  <c r="Z42" i="3" a="1"/>
  <c r="Z42" i="3" s="1"/>
  <c r="AA42" i="3" s="1"/>
  <c r="AB42" i="3" a="1"/>
  <c r="AB42" i="3" s="1"/>
  <c r="AC42" i="3" s="1"/>
  <c r="AD42" i="3" a="1"/>
  <c r="AD42" i="3" s="1"/>
  <c r="AE42" i="3" s="1"/>
  <c r="AF42" i="3" a="1"/>
  <c r="AF42" i="3" s="1"/>
  <c r="AG42" i="3" s="1"/>
  <c r="AH42" i="3" a="1"/>
  <c r="AH42" i="3" s="1"/>
  <c r="AI42" i="3" s="1"/>
  <c r="AJ42" i="3" a="1"/>
  <c r="AJ42" i="3" s="1"/>
  <c r="AK42" i="3" s="1"/>
  <c r="AL42" i="3" a="1"/>
  <c r="AL42" i="3" s="1"/>
  <c r="AM42" i="3" s="1"/>
  <c r="AN42" i="3" a="1"/>
  <c r="AN42" i="3" s="1"/>
  <c r="AO42" i="3" s="1"/>
  <c r="AP42" i="3" a="1"/>
  <c r="AP42" i="3" s="1"/>
  <c r="AQ42" i="3" s="1"/>
  <c r="F43" i="3" a="1"/>
  <c r="F43" i="3" s="1"/>
  <c r="G43" i="3" s="1"/>
  <c r="H43" i="3" a="1"/>
  <c r="H43" i="3" s="1"/>
  <c r="I43" i="3" s="1"/>
  <c r="J43" i="3" a="1"/>
  <c r="J43" i="3" s="1"/>
  <c r="K43" i="3" s="1"/>
  <c r="L43" i="3" a="1"/>
  <c r="L43" i="3" s="1"/>
  <c r="M43" i="3" s="1"/>
  <c r="N43" i="3" a="1"/>
  <c r="N43" i="3" s="1"/>
  <c r="O43" i="3" s="1"/>
  <c r="P43" i="3" a="1"/>
  <c r="P43" i="3" s="1"/>
  <c r="Q43" i="3" s="1"/>
  <c r="R43" i="3" a="1"/>
  <c r="R43" i="3" s="1"/>
  <c r="S43" i="3" s="1"/>
  <c r="T43" i="3" a="1"/>
  <c r="T43" i="3" s="1"/>
  <c r="U43" i="3" s="1"/>
  <c r="V43" i="3" a="1"/>
  <c r="V43" i="3" s="1"/>
  <c r="W43" i="3" s="1"/>
  <c r="X43" i="3" a="1"/>
  <c r="X43" i="3" s="1"/>
  <c r="Y43" i="3" s="1"/>
  <c r="Z43" i="3" a="1"/>
  <c r="Z43" i="3" s="1"/>
  <c r="AA43" i="3" s="1"/>
  <c r="AB43" i="3" a="1"/>
  <c r="AB43" i="3" s="1"/>
  <c r="AC43" i="3" s="1"/>
  <c r="AD43" i="3" a="1"/>
  <c r="AD43" i="3" s="1"/>
  <c r="AE43" i="3" s="1"/>
  <c r="AF43" i="3" a="1"/>
  <c r="AF43" i="3" s="1"/>
  <c r="AG43" i="3" s="1"/>
  <c r="AH43" i="3" a="1"/>
  <c r="AH43" i="3" s="1"/>
  <c r="AI43" i="3" s="1"/>
  <c r="AJ43" i="3" a="1"/>
  <c r="AJ43" i="3" s="1"/>
  <c r="AK43" i="3" s="1"/>
  <c r="AL43" i="3" a="1"/>
  <c r="AL43" i="3" s="1"/>
  <c r="AM43" i="3" s="1"/>
  <c r="AN43" i="3" a="1"/>
  <c r="AN43" i="3" s="1"/>
  <c r="AO43" i="3" s="1"/>
  <c r="AP43" i="3" a="1"/>
  <c r="AP43" i="3" s="1"/>
  <c r="AQ43" i="3" s="1"/>
  <c r="F44" i="3" a="1"/>
  <c r="F44" i="3" s="1"/>
  <c r="G44" i="3" s="1"/>
  <c r="H44" i="3" a="1"/>
  <c r="H44" i="3" s="1"/>
  <c r="I44" i="3" s="1"/>
  <c r="J44" i="3" a="1"/>
  <c r="J44" i="3" s="1"/>
  <c r="K44" i="3" s="1"/>
  <c r="L44" i="3" a="1"/>
  <c r="L44" i="3" s="1"/>
  <c r="M44" i="3" s="1"/>
  <c r="N44" i="3" a="1"/>
  <c r="N44" i="3" s="1"/>
  <c r="O44" i="3" s="1"/>
  <c r="P44" i="3" a="1"/>
  <c r="P44" i="3" s="1"/>
  <c r="Q44" i="3" s="1"/>
  <c r="R44" i="3" a="1"/>
  <c r="R44" i="3" s="1"/>
  <c r="S44" i="3" s="1"/>
  <c r="T44" i="3" a="1"/>
  <c r="T44" i="3" s="1"/>
  <c r="U44" i="3" s="1"/>
  <c r="V44" i="3" a="1"/>
  <c r="V44" i="3" s="1"/>
  <c r="W44" i="3" s="1"/>
  <c r="X44" i="3" a="1"/>
  <c r="X44" i="3" s="1"/>
  <c r="Y44" i="3" s="1"/>
  <c r="Z44" i="3" a="1"/>
  <c r="Z44" i="3" s="1"/>
  <c r="AA44" i="3" s="1"/>
  <c r="AB44" i="3" a="1"/>
  <c r="AB44" i="3" s="1"/>
  <c r="AC44" i="3" s="1"/>
  <c r="AD44" i="3" a="1"/>
  <c r="AD44" i="3" s="1"/>
  <c r="AE44" i="3" s="1"/>
  <c r="AF44" i="3" a="1"/>
  <c r="AF44" i="3" s="1"/>
  <c r="AG44" i="3" s="1"/>
  <c r="AH44" i="3" a="1"/>
  <c r="AH44" i="3" s="1"/>
  <c r="AI44" i="3" s="1"/>
  <c r="AJ44" i="3" a="1"/>
  <c r="AJ44" i="3" s="1"/>
  <c r="AK44" i="3" s="1"/>
  <c r="AL44" i="3" a="1"/>
  <c r="AL44" i="3" s="1"/>
  <c r="AM44" i="3" s="1"/>
  <c r="AN44" i="3" a="1"/>
  <c r="AN44" i="3" s="1"/>
  <c r="AO44" i="3" s="1"/>
  <c r="AP44" i="3" a="1"/>
  <c r="AP44" i="3" s="1"/>
  <c r="AQ44" i="3" s="1"/>
  <c r="F45" i="3" a="1"/>
  <c r="F45" i="3" s="1"/>
  <c r="G45" i="3" s="1"/>
  <c r="H45" i="3" a="1"/>
  <c r="H45" i="3" s="1"/>
  <c r="I45" i="3" s="1"/>
  <c r="J45" i="3" a="1"/>
  <c r="J45" i="3" s="1"/>
  <c r="K45" i="3" s="1"/>
  <c r="L45" i="3" a="1"/>
  <c r="L45" i="3" s="1"/>
  <c r="M45" i="3" s="1"/>
  <c r="N45" i="3" a="1"/>
  <c r="N45" i="3" s="1"/>
  <c r="O45" i="3" s="1"/>
  <c r="P45" i="3" a="1"/>
  <c r="P45" i="3" s="1"/>
  <c r="Q45" i="3" s="1"/>
  <c r="R45" i="3" a="1"/>
  <c r="R45" i="3" s="1"/>
  <c r="S45" i="3" s="1"/>
  <c r="T45" i="3" a="1"/>
  <c r="T45" i="3" s="1"/>
  <c r="U45" i="3" s="1"/>
  <c r="V45" i="3" a="1"/>
  <c r="V45" i="3" s="1"/>
  <c r="W45" i="3" s="1"/>
  <c r="X45" i="3" a="1"/>
  <c r="X45" i="3" s="1"/>
  <c r="Y45" i="3" s="1"/>
  <c r="Z45" i="3" a="1"/>
  <c r="Z45" i="3" s="1"/>
  <c r="AA45" i="3" s="1"/>
  <c r="AB45" i="3" a="1"/>
  <c r="AB45" i="3" s="1"/>
  <c r="AC45" i="3" s="1"/>
  <c r="AD45" i="3" a="1"/>
  <c r="AD45" i="3" s="1"/>
  <c r="AE45" i="3" s="1"/>
  <c r="AF45" i="3" a="1"/>
  <c r="AF45" i="3" s="1"/>
  <c r="AG45" i="3" s="1"/>
  <c r="AH45" i="3" a="1"/>
  <c r="AH45" i="3" s="1"/>
  <c r="AI45" i="3" s="1"/>
  <c r="AJ45" i="3" a="1"/>
  <c r="AJ45" i="3" s="1"/>
  <c r="AK45" i="3" s="1"/>
  <c r="AL45" i="3" a="1"/>
  <c r="AL45" i="3" s="1"/>
  <c r="AM45" i="3" s="1"/>
  <c r="AN45" i="3" a="1"/>
  <c r="AN45" i="3" s="1"/>
  <c r="AO45" i="3" s="1"/>
  <c r="AP45" i="3" a="1"/>
  <c r="AP45" i="3" s="1"/>
  <c r="AQ45" i="3" s="1"/>
  <c r="F46" i="3" a="1"/>
  <c r="F46" i="3" s="1"/>
  <c r="G46" i="3" s="1"/>
  <c r="H46" i="3" a="1"/>
  <c r="H46" i="3" s="1"/>
  <c r="I46" i="3" s="1"/>
  <c r="J46" i="3" a="1"/>
  <c r="J46" i="3" s="1"/>
  <c r="K46" i="3" s="1"/>
  <c r="L46" i="3" a="1"/>
  <c r="L46" i="3" s="1"/>
  <c r="M46" i="3" s="1"/>
  <c r="N46" i="3" a="1"/>
  <c r="N46" i="3" s="1"/>
  <c r="O46" i="3" s="1"/>
  <c r="P46" i="3" a="1"/>
  <c r="P46" i="3" s="1"/>
  <c r="Q46" i="3" s="1"/>
  <c r="R46" i="3" a="1"/>
  <c r="R46" i="3" s="1"/>
  <c r="S46" i="3" s="1"/>
  <c r="T46" i="3" a="1"/>
  <c r="T46" i="3" s="1"/>
  <c r="U46" i="3" s="1"/>
  <c r="V46" i="3" a="1"/>
  <c r="V46" i="3" s="1"/>
  <c r="W46" i="3" s="1"/>
  <c r="X46" i="3" a="1"/>
  <c r="X46" i="3" s="1"/>
  <c r="Y46" i="3" s="1"/>
  <c r="Z46" i="3" a="1"/>
  <c r="Z46" i="3" s="1"/>
  <c r="AA46" i="3" s="1"/>
  <c r="AB46" i="3" a="1"/>
  <c r="AB46" i="3" s="1"/>
  <c r="AC46" i="3" s="1"/>
  <c r="AD46" i="3" a="1"/>
  <c r="AD46" i="3" s="1"/>
  <c r="AE46" i="3" s="1"/>
  <c r="AF46" i="3" a="1"/>
  <c r="AF46" i="3" s="1"/>
  <c r="AG46" i="3" s="1"/>
  <c r="AH46" i="3" a="1"/>
  <c r="AH46" i="3" s="1"/>
  <c r="AI46" i="3" s="1"/>
  <c r="AJ46" i="3" a="1"/>
  <c r="AJ46" i="3" s="1"/>
  <c r="AK46" i="3" s="1"/>
  <c r="AL46" i="3" a="1"/>
  <c r="AL46" i="3" s="1"/>
  <c r="AM46" i="3" s="1"/>
  <c r="AN46" i="3" a="1"/>
  <c r="AN46" i="3" s="1"/>
  <c r="AO46" i="3" s="1"/>
  <c r="AP46" i="3" a="1"/>
  <c r="AP46" i="3" s="1"/>
  <c r="AQ46" i="3" s="1"/>
  <c r="F47" i="3" a="1"/>
  <c r="F47" i="3" s="1"/>
  <c r="G47" i="3" s="1"/>
  <c r="H47" i="3" a="1"/>
  <c r="H47" i="3" s="1"/>
  <c r="I47" i="3" s="1"/>
  <c r="J47" i="3" a="1"/>
  <c r="J47" i="3" s="1"/>
  <c r="K47" i="3" s="1"/>
  <c r="L47" i="3" a="1"/>
  <c r="L47" i="3" s="1"/>
  <c r="M47" i="3" s="1"/>
  <c r="N47" i="3" a="1"/>
  <c r="N47" i="3" s="1"/>
  <c r="O47" i="3" s="1"/>
  <c r="P47" i="3" a="1"/>
  <c r="P47" i="3" s="1"/>
  <c r="Q47" i="3" s="1"/>
  <c r="R47" i="3" a="1"/>
  <c r="R47" i="3" s="1"/>
  <c r="S47" i="3" s="1"/>
  <c r="T47" i="3" a="1"/>
  <c r="T47" i="3" s="1"/>
  <c r="U47" i="3" s="1"/>
  <c r="V47" i="3" a="1"/>
  <c r="V47" i="3" s="1"/>
  <c r="W47" i="3" s="1"/>
  <c r="X47" i="3" a="1"/>
  <c r="X47" i="3" s="1"/>
  <c r="Y47" i="3" s="1"/>
  <c r="Z47" i="3" a="1"/>
  <c r="Z47" i="3" s="1"/>
  <c r="AA47" i="3" s="1"/>
  <c r="AB47" i="3" a="1"/>
  <c r="AB47" i="3" s="1"/>
  <c r="AC47" i="3" s="1"/>
  <c r="AD47" i="3" a="1"/>
  <c r="AD47" i="3" s="1"/>
  <c r="AE47" i="3" s="1"/>
  <c r="AF47" i="3" a="1"/>
  <c r="AF47" i="3" s="1"/>
  <c r="AG47" i="3" s="1"/>
  <c r="AH47" i="3" a="1"/>
  <c r="AH47" i="3" s="1"/>
  <c r="AI47" i="3" s="1"/>
  <c r="AJ47" i="3" a="1"/>
  <c r="AJ47" i="3" s="1"/>
  <c r="AK47" i="3" s="1"/>
  <c r="AL47" i="3" a="1"/>
  <c r="AL47" i="3" s="1"/>
  <c r="AM47" i="3" s="1"/>
  <c r="AN47" i="3" a="1"/>
  <c r="AN47" i="3" s="1"/>
  <c r="AO47" i="3" s="1"/>
  <c r="AP47" i="3" a="1"/>
  <c r="AP47" i="3" s="1"/>
  <c r="AQ47" i="3" s="1"/>
  <c r="F48" i="3" a="1"/>
  <c r="F48" i="3" s="1"/>
  <c r="G48" i="3" s="1"/>
  <c r="H48" i="3" a="1"/>
  <c r="H48" i="3" s="1"/>
  <c r="I48" i="3" s="1"/>
  <c r="J48" i="3" a="1"/>
  <c r="J48" i="3" s="1"/>
  <c r="K48" i="3" s="1"/>
  <c r="L48" i="3" a="1"/>
  <c r="L48" i="3" s="1"/>
  <c r="M48" i="3" s="1"/>
  <c r="N48" i="3" a="1"/>
  <c r="N48" i="3" s="1"/>
  <c r="O48" i="3" s="1"/>
  <c r="P48" i="3" a="1"/>
  <c r="P48" i="3" s="1"/>
  <c r="Q48" i="3" s="1"/>
  <c r="R48" i="3" a="1"/>
  <c r="R48" i="3" s="1"/>
  <c r="S48" i="3" s="1"/>
  <c r="T48" i="3" a="1"/>
  <c r="T48" i="3" s="1"/>
  <c r="U48" i="3" s="1"/>
  <c r="V48" i="3" a="1"/>
  <c r="V48" i="3" s="1"/>
  <c r="W48" i="3" s="1"/>
  <c r="X48" i="3" a="1"/>
  <c r="X48" i="3" s="1"/>
  <c r="Y48" i="3" s="1"/>
  <c r="Z48" i="3" a="1"/>
  <c r="Z48" i="3" s="1"/>
  <c r="AA48" i="3" s="1"/>
  <c r="AB48" i="3" a="1"/>
  <c r="AB48" i="3" s="1"/>
  <c r="AC48" i="3" s="1"/>
  <c r="AD48" i="3" a="1"/>
  <c r="AD48" i="3" s="1"/>
  <c r="AE48" i="3" s="1"/>
  <c r="AF48" i="3" a="1"/>
  <c r="AF48" i="3" s="1"/>
  <c r="AG48" i="3" s="1"/>
  <c r="AH48" i="3" a="1"/>
  <c r="AH48" i="3" s="1"/>
  <c r="AI48" i="3" s="1"/>
  <c r="AJ48" i="3" a="1"/>
  <c r="AJ48" i="3" s="1"/>
  <c r="AK48" i="3" s="1"/>
  <c r="AL48" i="3" a="1"/>
  <c r="AL48" i="3" s="1"/>
  <c r="AM48" i="3" s="1"/>
  <c r="AN48" i="3" a="1"/>
  <c r="AN48" i="3" s="1"/>
  <c r="AO48" i="3" s="1"/>
  <c r="AP48" i="3" a="1"/>
  <c r="AP48" i="3" s="1"/>
  <c r="AQ48" i="3" s="1"/>
  <c r="F49" i="3" a="1"/>
  <c r="F49" i="3" s="1"/>
  <c r="G49" i="3" s="1"/>
  <c r="H49" i="3" a="1"/>
  <c r="H49" i="3" s="1"/>
  <c r="I49" i="3" s="1"/>
  <c r="J49" i="3" a="1"/>
  <c r="J49" i="3" s="1"/>
  <c r="K49" i="3" s="1"/>
  <c r="L49" i="3" a="1"/>
  <c r="L49" i="3" s="1"/>
  <c r="M49" i="3" s="1"/>
  <c r="N49" i="3" a="1"/>
  <c r="N49" i="3" s="1"/>
  <c r="O49" i="3" s="1"/>
  <c r="P49" i="3" a="1"/>
  <c r="P49" i="3" s="1"/>
  <c r="Q49" i="3" s="1"/>
  <c r="R49" i="3" a="1"/>
  <c r="R49" i="3" s="1"/>
  <c r="S49" i="3" s="1"/>
  <c r="T49" i="3" a="1"/>
  <c r="T49" i="3" s="1"/>
  <c r="U49" i="3" s="1"/>
  <c r="V49" i="3" a="1"/>
  <c r="V49" i="3" s="1"/>
  <c r="W49" i="3" s="1"/>
  <c r="X49" i="3" a="1"/>
  <c r="X49" i="3" s="1"/>
  <c r="Y49" i="3" s="1"/>
  <c r="Z49" i="3" a="1"/>
  <c r="Z49" i="3" s="1"/>
  <c r="AA49" i="3" s="1"/>
  <c r="AB49" i="3" a="1"/>
  <c r="AB49" i="3" s="1"/>
  <c r="AC49" i="3" s="1"/>
  <c r="AD49" i="3" a="1"/>
  <c r="AD49" i="3" s="1"/>
  <c r="AE49" i="3" s="1"/>
  <c r="AF49" i="3" a="1"/>
  <c r="AF49" i="3" s="1"/>
  <c r="AG49" i="3" s="1"/>
  <c r="AH49" i="3" a="1"/>
  <c r="AH49" i="3" s="1"/>
  <c r="AI49" i="3" s="1"/>
  <c r="AJ49" i="3" a="1"/>
  <c r="AJ49" i="3" s="1"/>
  <c r="AK49" i="3" s="1"/>
  <c r="AL49" i="3" a="1"/>
  <c r="AL49" i="3" s="1"/>
  <c r="AM49" i="3" s="1"/>
  <c r="AN49" i="3" a="1"/>
  <c r="AN49" i="3" s="1"/>
  <c r="AO49" i="3" s="1"/>
  <c r="AP49" i="3" a="1"/>
  <c r="AP49" i="3" s="1"/>
  <c r="AQ49" i="3" s="1"/>
  <c r="F50" i="3" a="1"/>
  <c r="F50" i="3" s="1"/>
  <c r="G50" i="3" s="1"/>
  <c r="H50" i="3" a="1"/>
  <c r="H50" i="3" s="1"/>
  <c r="I50" i="3" s="1"/>
  <c r="J50" i="3" a="1"/>
  <c r="J50" i="3" s="1"/>
  <c r="K50" i="3" s="1"/>
  <c r="L50" i="3" a="1"/>
  <c r="L50" i="3" s="1"/>
  <c r="M50" i="3" s="1"/>
  <c r="N50" i="3" a="1"/>
  <c r="N50" i="3" s="1"/>
  <c r="O50" i="3" s="1"/>
  <c r="P50" i="3" a="1"/>
  <c r="P50" i="3" s="1"/>
  <c r="Q50" i="3" s="1"/>
  <c r="R50" i="3" a="1"/>
  <c r="R50" i="3" s="1"/>
  <c r="S50" i="3" s="1"/>
  <c r="T50" i="3" a="1"/>
  <c r="T50" i="3" s="1"/>
  <c r="U50" i="3" s="1"/>
  <c r="V50" i="3" a="1"/>
  <c r="V50" i="3" s="1"/>
  <c r="W50" i="3" s="1"/>
  <c r="X50" i="3" a="1"/>
  <c r="X50" i="3" s="1"/>
  <c r="Y50" i="3" s="1"/>
  <c r="Z50" i="3" a="1"/>
  <c r="Z50" i="3" s="1"/>
  <c r="AA50" i="3" s="1"/>
  <c r="AB50" i="3" a="1"/>
  <c r="AB50" i="3" s="1"/>
  <c r="AC50" i="3" s="1"/>
  <c r="AD50" i="3" a="1"/>
  <c r="AD50" i="3" s="1"/>
  <c r="AE50" i="3" s="1"/>
  <c r="AF50" i="3" a="1"/>
  <c r="AF50" i="3" s="1"/>
  <c r="AG50" i="3" s="1"/>
  <c r="AH50" i="3" a="1"/>
  <c r="AH50" i="3" s="1"/>
  <c r="AI50" i="3" s="1"/>
  <c r="AJ50" i="3" a="1"/>
  <c r="AJ50" i="3" s="1"/>
  <c r="AK50" i="3" s="1"/>
  <c r="AL50" i="3" a="1"/>
  <c r="AL50" i="3" s="1"/>
  <c r="AM50" i="3" s="1"/>
  <c r="AN50" i="3" a="1"/>
  <c r="AN50" i="3" s="1"/>
  <c r="AO50" i="3" s="1"/>
  <c r="AP50" i="3" a="1"/>
  <c r="AP50" i="3" s="1"/>
  <c r="AQ50" i="3" s="1"/>
  <c r="F51" i="3" a="1"/>
  <c r="F51" i="3" s="1"/>
  <c r="G51" i="3" s="1"/>
  <c r="H51" i="3" a="1"/>
  <c r="H51" i="3" s="1"/>
  <c r="I51" i="3" s="1"/>
  <c r="J51" i="3" a="1"/>
  <c r="J51" i="3" s="1"/>
  <c r="K51" i="3" s="1"/>
  <c r="L51" i="3" a="1"/>
  <c r="L51" i="3" s="1"/>
  <c r="M51" i="3" s="1"/>
  <c r="N51" i="3" a="1"/>
  <c r="N51" i="3" s="1"/>
  <c r="O51" i="3" s="1"/>
  <c r="P51" i="3" a="1"/>
  <c r="P51" i="3" s="1"/>
  <c r="Q51" i="3" s="1"/>
  <c r="R51" i="3" a="1"/>
  <c r="R51" i="3" s="1"/>
  <c r="S51" i="3" s="1"/>
  <c r="T51" i="3" a="1"/>
  <c r="T51" i="3" s="1"/>
  <c r="U51" i="3" s="1"/>
  <c r="V51" i="3" a="1"/>
  <c r="V51" i="3" s="1"/>
  <c r="W51" i="3" s="1"/>
  <c r="X51" i="3" a="1"/>
  <c r="X51" i="3" s="1"/>
  <c r="Y51" i="3" s="1"/>
  <c r="Z51" i="3" a="1"/>
  <c r="Z51" i="3" s="1"/>
  <c r="AA51" i="3" s="1"/>
  <c r="AB51" i="3" a="1"/>
  <c r="AB51" i="3" s="1"/>
  <c r="AC51" i="3" s="1"/>
  <c r="AD51" i="3" a="1"/>
  <c r="AD51" i="3" s="1"/>
  <c r="AE51" i="3" s="1"/>
  <c r="AF51" i="3" a="1"/>
  <c r="AF51" i="3" s="1"/>
  <c r="AG51" i="3" s="1"/>
  <c r="AH51" i="3" a="1"/>
  <c r="AH51" i="3" s="1"/>
  <c r="AI51" i="3" s="1"/>
  <c r="AJ51" i="3" a="1"/>
  <c r="AJ51" i="3" s="1"/>
  <c r="AK51" i="3" s="1"/>
  <c r="AL51" i="3" a="1"/>
  <c r="AL51" i="3" s="1"/>
  <c r="AM51" i="3" s="1"/>
  <c r="AN51" i="3" a="1"/>
  <c r="AN51" i="3" s="1"/>
  <c r="AO51" i="3" s="1"/>
  <c r="AP51" i="3" a="1"/>
  <c r="AP51" i="3" s="1"/>
  <c r="AQ51" i="3" s="1"/>
  <c r="F52" i="3" a="1"/>
  <c r="F52" i="3" s="1"/>
  <c r="G52" i="3" s="1"/>
  <c r="H52" i="3" a="1"/>
  <c r="H52" i="3" s="1"/>
  <c r="I52" i="3" s="1"/>
  <c r="J52" i="3" a="1"/>
  <c r="J52" i="3" s="1"/>
  <c r="K52" i="3" s="1"/>
  <c r="L52" i="3" a="1"/>
  <c r="L52" i="3" s="1"/>
  <c r="M52" i="3" s="1"/>
  <c r="N52" i="3" a="1"/>
  <c r="N52" i="3" s="1"/>
  <c r="O52" i="3" s="1"/>
  <c r="P52" i="3" a="1"/>
  <c r="P52" i="3" s="1"/>
  <c r="Q52" i="3" s="1"/>
  <c r="R52" i="3" a="1"/>
  <c r="R52" i="3" s="1"/>
  <c r="S52" i="3" s="1"/>
  <c r="T52" i="3" a="1"/>
  <c r="T52" i="3" s="1"/>
  <c r="U52" i="3" s="1"/>
  <c r="V52" i="3" a="1"/>
  <c r="V52" i="3" s="1"/>
  <c r="W52" i="3" s="1"/>
  <c r="X52" i="3" a="1"/>
  <c r="X52" i="3" s="1"/>
  <c r="Y52" i="3" s="1"/>
  <c r="Z52" i="3" a="1"/>
  <c r="Z52" i="3" s="1"/>
  <c r="AA52" i="3" s="1"/>
  <c r="AB52" i="3" a="1"/>
  <c r="AB52" i="3" s="1"/>
  <c r="AC52" i="3" s="1"/>
  <c r="AD52" i="3" a="1"/>
  <c r="AD52" i="3" s="1"/>
  <c r="AE52" i="3" s="1"/>
  <c r="AF52" i="3" a="1"/>
  <c r="AF52" i="3" s="1"/>
  <c r="AG52" i="3" s="1"/>
  <c r="AH52" i="3" a="1"/>
  <c r="AH52" i="3" s="1"/>
  <c r="AI52" i="3" s="1"/>
  <c r="AJ52" i="3" a="1"/>
  <c r="AJ52" i="3" s="1"/>
  <c r="AK52" i="3" s="1"/>
  <c r="AL52" i="3" a="1"/>
  <c r="AL52" i="3" s="1"/>
  <c r="AM52" i="3" s="1"/>
  <c r="AN52" i="3" a="1"/>
  <c r="AN52" i="3" s="1"/>
  <c r="AO52" i="3" s="1"/>
  <c r="AP52" i="3" a="1"/>
  <c r="AP52" i="3" s="1"/>
  <c r="AQ52" i="3" s="1"/>
  <c r="F53" i="3" a="1"/>
  <c r="F53" i="3" s="1"/>
  <c r="G53" i="3" s="1"/>
  <c r="H53" i="3" a="1"/>
  <c r="H53" i="3" s="1"/>
  <c r="I53" i="3" s="1"/>
  <c r="J53" i="3" a="1"/>
  <c r="J53" i="3" s="1"/>
  <c r="K53" i="3" s="1"/>
  <c r="L53" i="3" a="1"/>
  <c r="L53" i="3" s="1"/>
  <c r="M53" i="3" s="1"/>
  <c r="N53" i="3" a="1"/>
  <c r="N53" i="3" s="1"/>
  <c r="O53" i="3" s="1"/>
  <c r="P53" i="3" a="1"/>
  <c r="P53" i="3" s="1"/>
  <c r="Q53" i="3" s="1"/>
  <c r="R53" i="3" a="1"/>
  <c r="R53" i="3" s="1"/>
  <c r="S53" i="3" s="1"/>
  <c r="T53" i="3" a="1"/>
  <c r="T53" i="3" s="1"/>
  <c r="U53" i="3" s="1"/>
  <c r="V53" i="3" a="1"/>
  <c r="V53" i="3" s="1"/>
  <c r="W53" i="3" s="1"/>
  <c r="X53" i="3" a="1"/>
  <c r="X53" i="3" s="1"/>
  <c r="Y53" i="3" s="1"/>
  <c r="Z53" i="3" a="1"/>
  <c r="Z53" i="3" s="1"/>
  <c r="AA53" i="3" s="1"/>
  <c r="AB53" i="3" a="1"/>
  <c r="AB53" i="3" s="1"/>
  <c r="AC53" i="3" s="1"/>
  <c r="AD53" i="3" a="1"/>
  <c r="AD53" i="3" s="1"/>
  <c r="AE53" i="3" s="1"/>
  <c r="AF53" i="3" a="1"/>
  <c r="AF53" i="3" s="1"/>
  <c r="AG53" i="3" s="1"/>
  <c r="AH53" i="3" a="1"/>
  <c r="AH53" i="3" s="1"/>
  <c r="AI53" i="3" s="1"/>
  <c r="AJ53" i="3" a="1"/>
  <c r="AJ53" i="3" s="1"/>
  <c r="AK53" i="3" s="1"/>
  <c r="AL53" i="3" a="1"/>
  <c r="AL53" i="3" s="1"/>
  <c r="AM53" i="3" s="1"/>
  <c r="AN53" i="3" a="1"/>
  <c r="AN53" i="3" s="1"/>
  <c r="AO53" i="3" s="1"/>
  <c r="AP53" i="3" a="1"/>
  <c r="AP53" i="3" s="1"/>
  <c r="AQ53" i="3" s="1"/>
  <c r="F54" i="3" a="1"/>
  <c r="F54" i="3" s="1"/>
  <c r="G54" i="3" s="1"/>
  <c r="H54" i="3" a="1"/>
  <c r="H54" i="3" s="1"/>
  <c r="I54" i="3" s="1"/>
  <c r="J54" i="3" a="1"/>
  <c r="J54" i="3" s="1"/>
  <c r="K54" i="3" s="1"/>
  <c r="L54" i="3" a="1"/>
  <c r="L54" i="3" s="1"/>
  <c r="M54" i="3" s="1"/>
  <c r="N54" i="3" a="1"/>
  <c r="N54" i="3" s="1"/>
  <c r="O54" i="3" s="1"/>
  <c r="P54" i="3" a="1"/>
  <c r="P54" i="3" s="1"/>
  <c r="Q54" i="3" s="1"/>
  <c r="R54" i="3" a="1"/>
  <c r="R54" i="3" s="1"/>
  <c r="S54" i="3" s="1"/>
  <c r="T54" i="3" a="1"/>
  <c r="T54" i="3" s="1"/>
  <c r="U54" i="3" s="1"/>
  <c r="V54" i="3" a="1"/>
  <c r="V54" i="3" s="1"/>
  <c r="W54" i="3" s="1"/>
  <c r="X54" i="3" a="1"/>
  <c r="X54" i="3" s="1"/>
  <c r="Y54" i="3" s="1"/>
  <c r="Z54" i="3" a="1"/>
  <c r="Z54" i="3" s="1"/>
  <c r="AA54" i="3" s="1"/>
  <c r="AB54" i="3" a="1"/>
  <c r="AB54" i="3" s="1"/>
  <c r="AC54" i="3" s="1"/>
  <c r="AD54" i="3" a="1"/>
  <c r="AD54" i="3" s="1"/>
  <c r="AE54" i="3" s="1"/>
  <c r="AF54" i="3" a="1"/>
  <c r="AF54" i="3" s="1"/>
  <c r="AG54" i="3" s="1"/>
  <c r="AH54" i="3" a="1"/>
  <c r="AH54" i="3" s="1"/>
  <c r="AI54" i="3" s="1"/>
  <c r="AJ54" i="3" a="1"/>
  <c r="AJ54" i="3" s="1"/>
  <c r="AK54" i="3" s="1"/>
  <c r="AL54" i="3" a="1"/>
  <c r="AL54" i="3" s="1"/>
  <c r="AM54" i="3" s="1"/>
  <c r="AN54" i="3" a="1"/>
  <c r="AN54" i="3" s="1"/>
  <c r="AO54" i="3" s="1"/>
  <c r="AP54" i="3" a="1"/>
  <c r="AP54" i="3" s="1"/>
  <c r="AQ54" i="3" s="1"/>
  <c r="F55" i="3" a="1"/>
  <c r="F55" i="3" s="1"/>
  <c r="G55" i="3" s="1"/>
  <c r="H55" i="3" a="1"/>
  <c r="H55" i="3" s="1"/>
  <c r="I55" i="3" s="1"/>
  <c r="J55" i="3" a="1"/>
  <c r="J55" i="3" s="1"/>
  <c r="K55" i="3" s="1"/>
  <c r="L55" i="3" a="1"/>
  <c r="L55" i="3" s="1"/>
  <c r="M55" i="3" s="1"/>
  <c r="N55" i="3" a="1"/>
  <c r="N55" i="3" s="1"/>
  <c r="O55" i="3" s="1"/>
  <c r="P55" i="3" a="1"/>
  <c r="P55" i="3" s="1"/>
  <c r="Q55" i="3" s="1"/>
  <c r="R55" i="3" a="1"/>
  <c r="R55" i="3" s="1"/>
  <c r="S55" i="3" s="1"/>
  <c r="T55" i="3" a="1"/>
  <c r="T55" i="3" s="1"/>
  <c r="U55" i="3" s="1"/>
  <c r="V55" i="3" a="1"/>
  <c r="V55" i="3" s="1"/>
  <c r="W55" i="3" s="1"/>
  <c r="X55" i="3" a="1"/>
  <c r="X55" i="3" s="1"/>
  <c r="Y55" i="3" s="1"/>
  <c r="Z55" i="3" a="1"/>
  <c r="Z55" i="3" s="1"/>
  <c r="AA55" i="3" s="1"/>
  <c r="AB55" i="3" a="1"/>
  <c r="AB55" i="3" s="1"/>
  <c r="AC55" i="3" s="1"/>
  <c r="AD55" i="3" a="1"/>
  <c r="AD55" i="3" s="1"/>
  <c r="AE55" i="3" s="1"/>
  <c r="AF55" i="3" a="1"/>
  <c r="AF55" i="3" s="1"/>
  <c r="AG55" i="3" s="1"/>
  <c r="AH55" i="3" a="1"/>
  <c r="AH55" i="3" s="1"/>
  <c r="AI55" i="3" s="1"/>
  <c r="AJ55" i="3" a="1"/>
  <c r="AJ55" i="3" s="1"/>
  <c r="AK55" i="3" s="1"/>
  <c r="AL55" i="3" a="1"/>
  <c r="AL55" i="3" s="1"/>
  <c r="AM55" i="3" s="1"/>
  <c r="AN55" i="3" a="1"/>
  <c r="AN55" i="3" s="1"/>
  <c r="AO55" i="3" s="1"/>
  <c r="AP55" i="3" a="1"/>
  <c r="AP55" i="3" s="1"/>
  <c r="AQ55" i="3" s="1"/>
  <c r="F56" i="3" a="1"/>
  <c r="F56" i="3" s="1"/>
  <c r="G56" i="3" s="1"/>
  <c r="H56" i="3" a="1"/>
  <c r="H56" i="3" s="1"/>
  <c r="I56" i="3" s="1"/>
  <c r="J56" i="3" a="1"/>
  <c r="J56" i="3" s="1"/>
  <c r="K56" i="3" s="1"/>
  <c r="L56" i="3" a="1"/>
  <c r="L56" i="3" s="1"/>
  <c r="M56" i="3" s="1"/>
  <c r="N56" i="3" a="1"/>
  <c r="N56" i="3" s="1"/>
  <c r="O56" i="3" s="1"/>
  <c r="P56" i="3" a="1"/>
  <c r="P56" i="3" s="1"/>
  <c r="Q56" i="3" s="1"/>
  <c r="R56" i="3" a="1"/>
  <c r="R56" i="3" s="1"/>
  <c r="S56" i="3" s="1"/>
  <c r="T56" i="3" a="1"/>
  <c r="T56" i="3" s="1"/>
  <c r="U56" i="3" s="1"/>
  <c r="V56" i="3" a="1"/>
  <c r="V56" i="3" s="1"/>
  <c r="W56" i="3" s="1"/>
  <c r="X56" i="3" a="1"/>
  <c r="X56" i="3" s="1"/>
  <c r="Y56" i="3" s="1"/>
  <c r="Z56" i="3" a="1"/>
  <c r="Z56" i="3" s="1"/>
  <c r="AA56" i="3" s="1"/>
  <c r="AB56" i="3" a="1"/>
  <c r="AB56" i="3" s="1"/>
  <c r="AC56" i="3" s="1"/>
  <c r="AD56" i="3" a="1"/>
  <c r="AD56" i="3" s="1"/>
  <c r="AE56" i="3" s="1"/>
  <c r="AF56" i="3" a="1"/>
  <c r="AF56" i="3" s="1"/>
  <c r="AG56" i="3" s="1"/>
  <c r="AH56" i="3" a="1"/>
  <c r="AH56" i="3" s="1"/>
  <c r="AI56" i="3" s="1"/>
  <c r="AJ56" i="3" a="1"/>
  <c r="AJ56" i="3" s="1"/>
  <c r="AK56" i="3" s="1"/>
  <c r="AL56" i="3" a="1"/>
  <c r="AL56" i="3" s="1"/>
  <c r="AM56" i="3" s="1"/>
  <c r="AN56" i="3" a="1"/>
  <c r="AN56" i="3" s="1"/>
  <c r="AO56" i="3" s="1"/>
  <c r="AP56" i="3" a="1"/>
  <c r="AP56" i="3" s="1"/>
  <c r="AQ56" i="3" s="1"/>
  <c r="F57" i="3" a="1"/>
  <c r="F57" i="3" s="1"/>
  <c r="G57" i="3" s="1"/>
  <c r="H57" i="3" a="1"/>
  <c r="H57" i="3" s="1"/>
  <c r="I57" i="3" s="1"/>
  <c r="J57" i="3" a="1"/>
  <c r="J57" i="3" s="1"/>
  <c r="K57" i="3" s="1"/>
  <c r="L57" i="3" a="1"/>
  <c r="L57" i="3" s="1"/>
  <c r="M57" i="3" s="1"/>
  <c r="N57" i="3" a="1"/>
  <c r="N57" i="3" s="1"/>
  <c r="O57" i="3" s="1"/>
  <c r="P57" i="3" a="1"/>
  <c r="P57" i="3" s="1"/>
  <c r="Q57" i="3" s="1"/>
  <c r="R57" i="3" a="1"/>
  <c r="R57" i="3" s="1"/>
  <c r="S57" i="3" s="1"/>
  <c r="T57" i="3" a="1"/>
  <c r="T57" i="3" s="1"/>
  <c r="U57" i="3" s="1"/>
  <c r="V57" i="3" a="1"/>
  <c r="V57" i="3" s="1"/>
  <c r="W57" i="3" s="1"/>
  <c r="X57" i="3" a="1"/>
  <c r="X57" i="3" s="1"/>
  <c r="Y57" i="3" s="1"/>
  <c r="Z57" i="3" a="1"/>
  <c r="Z57" i="3" s="1"/>
  <c r="AA57" i="3" s="1"/>
  <c r="AB57" i="3" a="1"/>
  <c r="AB57" i="3" s="1"/>
  <c r="AC57" i="3" s="1"/>
  <c r="AD57" i="3" a="1"/>
  <c r="AD57" i="3" s="1"/>
  <c r="AE57" i="3" s="1"/>
  <c r="AF57" i="3" a="1"/>
  <c r="AF57" i="3" s="1"/>
  <c r="AG57" i="3" s="1"/>
  <c r="AH57" i="3" a="1"/>
  <c r="AH57" i="3" s="1"/>
  <c r="AI57" i="3" s="1"/>
  <c r="AJ57" i="3" a="1"/>
  <c r="AJ57" i="3" s="1"/>
  <c r="AK57" i="3" s="1"/>
  <c r="AL57" i="3" a="1"/>
  <c r="AL57" i="3" s="1"/>
  <c r="AM57" i="3" s="1"/>
  <c r="AN57" i="3" a="1"/>
  <c r="AN57" i="3" s="1"/>
  <c r="AO57" i="3" s="1"/>
  <c r="AP57" i="3" a="1"/>
  <c r="AP57" i="3" s="1"/>
  <c r="AQ57" i="3" s="1"/>
  <c r="F58" i="3" a="1"/>
  <c r="F58" i="3" s="1"/>
  <c r="G58" i="3" s="1"/>
  <c r="H58" i="3" a="1"/>
  <c r="H58" i="3" s="1"/>
  <c r="I58" i="3" s="1"/>
  <c r="J58" i="3" a="1"/>
  <c r="J58" i="3" s="1"/>
  <c r="K58" i="3" s="1"/>
  <c r="L58" i="3" a="1"/>
  <c r="L58" i="3" s="1"/>
  <c r="M58" i="3" s="1"/>
  <c r="N58" i="3" a="1"/>
  <c r="N58" i="3" s="1"/>
  <c r="O58" i="3" s="1"/>
  <c r="P58" i="3" a="1"/>
  <c r="P58" i="3" s="1"/>
  <c r="Q58" i="3" s="1"/>
  <c r="R58" i="3" a="1"/>
  <c r="R58" i="3" s="1"/>
  <c r="S58" i="3" s="1"/>
  <c r="T58" i="3" a="1"/>
  <c r="T58" i="3" s="1"/>
  <c r="U58" i="3" s="1"/>
  <c r="V58" i="3" a="1"/>
  <c r="V58" i="3" s="1"/>
  <c r="W58" i="3" s="1"/>
  <c r="X58" i="3" a="1"/>
  <c r="X58" i="3" s="1"/>
  <c r="Y58" i="3" s="1"/>
  <c r="Z58" i="3" a="1"/>
  <c r="Z58" i="3" s="1"/>
  <c r="AA58" i="3" s="1"/>
  <c r="AB58" i="3" a="1"/>
  <c r="AB58" i="3" s="1"/>
  <c r="AC58" i="3" s="1"/>
  <c r="AD58" i="3" a="1"/>
  <c r="AD58" i="3" s="1"/>
  <c r="AE58" i="3" s="1"/>
  <c r="AF58" i="3" a="1"/>
  <c r="AF58" i="3" s="1"/>
  <c r="AG58" i="3" s="1"/>
  <c r="AH58" i="3" a="1"/>
  <c r="AH58" i="3" s="1"/>
  <c r="AI58" i="3" s="1"/>
  <c r="AJ58" i="3" a="1"/>
  <c r="AJ58" i="3" s="1"/>
  <c r="AK58" i="3" s="1"/>
  <c r="AL58" i="3" a="1"/>
  <c r="AL58" i="3" s="1"/>
  <c r="AM58" i="3" s="1"/>
  <c r="AN58" i="3" a="1"/>
  <c r="AN58" i="3" s="1"/>
  <c r="AO58" i="3" s="1"/>
  <c r="AP58" i="3" a="1"/>
  <c r="AP58" i="3" s="1"/>
  <c r="AQ58" i="3" s="1"/>
  <c r="F59" i="3" a="1"/>
  <c r="F59" i="3" s="1"/>
  <c r="G59" i="3" s="1"/>
  <c r="H59" i="3" a="1"/>
  <c r="H59" i="3" s="1"/>
  <c r="I59" i="3" s="1"/>
  <c r="J59" i="3" a="1"/>
  <c r="J59" i="3" s="1"/>
  <c r="K59" i="3" s="1"/>
  <c r="L59" i="3" a="1"/>
  <c r="L59" i="3" s="1"/>
  <c r="M59" i="3" s="1"/>
  <c r="N59" i="3" a="1"/>
  <c r="N59" i="3" s="1"/>
  <c r="O59" i="3" s="1"/>
  <c r="P59" i="3" a="1"/>
  <c r="P59" i="3" s="1"/>
  <c r="Q59" i="3" s="1"/>
  <c r="R59" i="3" a="1"/>
  <c r="R59" i="3" s="1"/>
  <c r="S59" i="3" s="1"/>
  <c r="T59" i="3" a="1"/>
  <c r="T59" i="3" s="1"/>
  <c r="U59" i="3" s="1"/>
  <c r="V59" i="3" a="1"/>
  <c r="V59" i="3" s="1"/>
  <c r="W59" i="3" s="1"/>
  <c r="X59" i="3" a="1"/>
  <c r="X59" i="3" s="1"/>
  <c r="Y59" i="3" s="1"/>
  <c r="Z59" i="3" a="1"/>
  <c r="Z59" i="3" s="1"/>
  <c r="AA59" i="3" s="1"/>
  <c r="AB59" i="3" a="1"/>
  <c r="AB59" i="3" s="1"/>
  <c r="AC59" i="3" s="1"/>
  <c r="AD59" i="3" a="1"/>
  <c r="AD59" i="3" s="1"/>
  <c r="AE59" i="3" s="1"/>
  <c r="AF59" i="3" a="1"/>
  <c r="AF59" i="3" s="1"/>
  <c r="AG59" i="3" s="1"/>
  <c r="AH59" i="3" a="1"/>
  <c r="AH59" i="3" s="1"/>
  <c r="AI59" i="3" s="1"/>
  <c r="AJ59" i="3" a="1"/>
  <c r="AJ59" i="3" s="1"/>
  <c r="AK59" i="3" s="1"/>
  <c r="AL59" i="3" a="1"/>
  <c r="AL59" i="3" s="1"/>
  <c r="AM59" i="3" s="1"/>
  <c r="AN59" i="3" a="1"/>
  <c r="AN59" i="3" s="1"/>
  <c r="AO59" i="3" s="1"/>
  <c r="AP59" i="3" a="1"/>
  <c r="AP59" i="3" s="1"/>
  <c r="AQ59" i="3" s="1"/>
  <c r="F60" i="3" a="1"/>
  <c r="F60" i="3" s="1"/>
  <c r="G60" i="3" s="1"/>
  <c r="H60" i="3" a="1"/>
  <c r="H60" i="3" s="1"/>
  <c r="I60" i="3" s="1"/>
  <c r="J60" i="3" a="1"/>
  <c r="J60" i="3" s="1"/>
  <c r="K60" i="3" s="1"/>
  <c r="L60" i="3" a="1"/>
  <c r="L60" i="3" s="1"/>
  <c r="M60" i="3" s="1"/>
  <c r="N60" i="3" a="1"/>
  <c r="N60" i="3" s="1"/>
  <c r="O60" i="3" s="1"/>
  <c r="P60" i="3" a="1"/>
  <c r="P60" i="3" s="1"/>
  <c r="Q60" i="3" s="1"/>
  <c r="R60" i="3" a="1"/>
  <c r="R60" i="3" s="1"/>
  <c r="S60" i="3" s="1"/>
  <c r="T60" i="3" a="1"/>
  <c r="T60" i="3" s="1"/>
  <c r="U60" i="3" s="1"/>
  <c r="V60" i="3" a="1"/>
  <c r="V60" i="3" s="1"/>
  <c r="W60" i="3" s="1"/>
  <c r="X60" i="3" a="1"/>
  <c r="X60" i="3" s="1"/>
  <c r="Y60" i="3" s="1"/>
  <c r="Z60" i="3" a="1"/>
  <c r="Z60" i="3" s="1"/>
  <c r="AA60" i="3" s="1"/>
  <c r="AB60" i="3" a="1"/>
  <c r="AB60" i="3" s="1"/>
  <c r="AC60" i="3" s="1"/>
  <c r="AD60" i="3" a="1"/>
  <c r="AD60" i="3" s="1"/>
  <c r="AE60" i="3" s="1"/>
  <c r="AF60" i="3" a="1"/>
  <c r="AF60" i="3" s="1"/>
  <c r="AG60" i="3" s="1"/>
  <c r="AH60" i="3" a="1"/>
  <c r="AH60" i="3" s="1"/>
  <c r="AI60" i="3" s="1"/>
  <c r="AJ60" i="3" a="1"/>
  <c r="AJ60" i="3" s="1"/>
  <c r="AK60" i="3" s="1"/>
  <c r="AL60" i="3" a="1"/>
  <c r="AL60" i="3" s="1"/>
  <c r="AM60" i="3" s="1"/>
  <c r="AN60" i="3" a="1"/>
  <c r="AN60" i="3" s="1"/>
  <c r="AO60" i="3" s="1"/>
  <c r="AP60" i="3" a="1"/>
  <c r="AP60" i="3" s="1"/>
  <c r="AQ60" i="3" s="1"/>
  <c r="F61" i="3" a="1"/>
  <c r="F61" i="3" s="1"/>
  <c r="G61" i="3" s="1"/>
  <c r="H61" i="3" a="1"/>
  <c r="H61" i="3" s="1"/>
  <c r="I61" i="3" s="1"/>
  <c r="J61" i="3" a="1"/>
  <c r="J61" i="3" s="1"/>
  <c r="K61" i="3" s="1"/>
  <c r="L61" i="3" a="1"/>
  <c r="L61" i="3" s="1"/>
  <c r="M61" i="3" s="1"/>
  <c r="N61" i="3" a="1"/>
  <c r="N61" i="3" s="1"/>
  <c r="O61" i="3" s="1"/>
  <c r="P61" i="3" a="1"/>
  <c r="P61" i="3" s="1"/>
  <c r="Q61" i="3" s="1"/>
  <c r="R61" i="3" a="1"/>
  <c r="R61" i="3" s="1"/>
  <c r="S61" i="3" s="1"/>
  <c r="T61" i="3" a="1"/>
  <c r="T61" i="3" s="1"/>
  <c r="U61" i="3" s="1"/>
  <c r="V61" i="3" a="1"/>
  <c r="V61" i="3" s="1"/>
  <c r="W61" i="3" s="1"/>
  <c r="X61" i="3" a="1"/>
  <c r="X61" i="3" s="1"/>
  <c r="Y61" i="3" s="1"/>
  <c r="Z61" i="3" a="1"/>
  <c r="Z61" i="3" s="1"/>
  <c r="AA61" i="3" s="1"/>
  <c r="AB61" i="3" a="1"/>
  <c r="AB61" i="3" s="1"/>
  <c r="AC61" i="3" s="1"/>
  <c r="AD61" i="3" a="1"/>
  <c r="AD61" i="3" s="1"/>
  <c r="AE61" i="3" s="1"/>
  <c r="AF61" i="3" a="1"/>
  <c r="AF61" i="3" s="1"/>
  <c r="AG61" i="3" s="1"/>
  <c r="AH61" i="3" a="1"/>
  <c r="AH61" i="3" s="1"/>
  <c r="AI61" i="3" s="1"/>
  <c r="AJ61" i="3" a="1"/>
  <c r="AJ61" i="3" s="1"/>
  <c r="AK61" i="3" s="1"/>
  <c r="AL61" i="3" a="1"/>
  <c r="AL61" i="3" s="1"/>
  <c r="AM61" i="3" s="1"/>
  <c r="AN61" i="3" a="1"/>
  <c r="AN61" i="3" s="1"/>
  <c r="AO61" i="3" s="1"/>
  <c r="AP61" i="3" a="1"/>
  <c r="AP61" i="3" s="1"/>
  <c r="AQ61" i="3" s="1"/>
  <c r="F62" i="3" a="1"/>
  <c r="F62" i="3" s="1"/>
  <c r="G62" i="3" s="1"/>
  <c r="H62" i="3" a="1"/>
  <c r="H62" i="3" s="1"/>
  <c r="I62" i="3" s="1"/>
  <c r="J62" i="3" a="1"/>
  <c r="J62" i="3" s="1"/>
  <c r="K62" i="3" s="1"/>
  <c r="L62" i="3" a="1"/>
  <c r="L62" i="3" s="1"/>
  <c r="M62" i="3" s="1"/>
  <c r="N62" i="3" a="1"/>
  <c r="N62" i="3" s="1"/>
  <c r="O62" i="3" s="1"/>
  <c r="P62" i="3" a="1"/>
  <c r="P62" i="3" s="1"/>
  <c r="Q62" i="3" s="1"/>
  <c r="R62" i="3" a="1"/>
  <c r="R62" i="3" s="1"/>
  <c r="S62" i="3" s="1"/>
  <c r="T62" i="3" a="1"/>
  <c r="T62" i="3" s="1"/>
  <c r="U62" i="3" s="1"/>
  <c r="V62" i="3" a="1"/>
  <c r="V62" i="3" s="1"/>
  <c r="W62" i="3" s="1"/>
  <c r="X62" i="3" a="1"/>
  <c r="X62" i="3" s="1"/>
  <c r="Y62" i="3" s="1"/>
  <c r="Z62" i="3" a="1"/>
  <c r="Z62" i="3" s="1"/>
  <c r="AA62" i="3" s="1"/>
  <c r="AB62" i="3" a="1"/>
  <c r="AB62" i="3" s="1"/>
  <c r="AC62" i="3" s="1"/>
  <c r="AD62" i="3" a="1"/>
  <c r="AD62" i="3" s="1"/>
  <c r="AE62" i="3" s="1"/>
  <c r="AF62" i="3" a="1"/>
  <c r="AF62" i="3" s="1"/>
  <c r="AG62" i="3" s="1"/>
  <c r="AH62" i="3" a="1"/>
  <c r="AH62" i="3" s="1"/>
  <c r="AI62" i="3" s="1"/>
  <c r="AJ62" i="3" a="1"/>
  <c r="AJ62" i="3" s="1"/>
  <c r="AK62" i="3" s="1"/>
  <c r="AL62" i="3" a="1"/>
  <c r="AL62" i="3" s="1"/>
  <c r="AM62" i="3" s="1"/>
  <c r="AN62" i="3" a="1"/>
  <c r="AN62" i="3" s="1"/>
  <c r="AO62" i="3" s="1"/>
  <c r="AP62" i="3" a="1"/>
  <c r="AP62" i="3" s="1"/>
  <c r="AQ62" i="3" s="1"/>
  <c r="F63" i="3" a="1"/>
  <c r="F63" i="3" s="1"/>
  <c r="G63" i="3" s="1"/>
  <c r="H63" i="3" a="1"/>
  <c r="H63" i="3" s="1"/>
  <c r="I63" i="3" s="1"/>
  <c r="J63" i="3" a="1"/>
  <c r="J63" i="3" s="1"/>
  <c r="K63" i="3" s="1"/>
  <c r="L63" i="3" a="1"/>
  <c r="L63" i="3" s="1"/>
  <c r="M63" i="3" s="1"/>
  <c r="N63" i="3" a="1"/>
  <c r="N63" i="3" s="1"/>
  <c r="O63" i="3" s="1"/>
  <c r="P63" i="3" a="1"/>
  <c r="P63" i="3" s="1"/>
  <c r="Q63" i="3" s="1"/>
  <c r="R63" i="3" a="1"/>
  <c r="R63" i="3" s="1"/>
  <c r="S63" i="3" s="1"/>
  <c r="T63" i="3" a="1"/>
  <c r="T63" i="3" s="1"/>
  <c r="U63" i="3" s="1"/>
  <c r="V63" i="3" a="1"/>
  <c r="V63" i="3" s="1"/>
  <c r="W63" i="3" s="1"/>
  <c r="X63" i="3" a="1"/>
  <c r="X63" i="3" s="1"/>
  <c r="Y63" i="3" s="1"/>
  <c r="Z63" i="3" a="1"/>
  <c r="Z63" i="3" s="1"/>
  <c r="AA63" i="3" s="1"/>
  <c r="AB63" i="3" a="1"/>
  <c r="AB63" i="3" s="1"/>
  <c r="AC63" i="3" s="1"/>
  <c r="AD63" i="3" a="1"/>
  <c r="AD63" i="3" s="1"/>
  <c r="AE63" i="3" s="1"/>
  <c r="AF63" i="3" a="1"/>
  <c r="AF63" i="3" s="1"/>
  <c r="AG63" i="3" s="1"/>
  <c r="AH63" i="3" a="1"/>
  <c r="AH63" i="3" s="1"/>
  <c r="AI63" i="3" s="1"/>
  <c r="AJ63" i="3" a="1"/>
  <c r="AJ63" i="3" s="1"/>
  <c r="AK63" i="3" s="1"/>
  <c r="AL63" i="3" a="1"/>
  <c r="AL63" i="3" s="1"/>
  <c r="AM63" i="3" s="1"/>
  <c r="AN63" i="3" a="1"/>
  <c r="AN63" i="3" s="1"/>
  <c r="AO63" i="3" s="1"/>
  <c r="AP63" i="3" a="1"/>
  <c r="AP63" i="3" s="1"/>
  <c r="AQ63" i="3" s="1"/>
  <c r="F64" i="3" a="1"/>
  <c r="F64" i="3" s="1"/>
  <c r="G64" i="3" s="1"/>
  <c r="H64" i="3" a="1"/>
  <c r="H64" i="3" s="1"/>
  <c r="I64" i="3" s="1"/>
  <c r="J64" i="3" a="1"/>
  <c r="J64" i="3" s="1"/>
  <c r="K64" i="3" s="1"/>
  <c r="L64" i="3" a="1"/>
  <c r="L64" i="3" s="1"/>
  <c r="M64" i="3" s="1"/>
  <c r="N64" i="3" a="1"/>
  <c r="N64" i="3" s="1"/>
  <c r="O64" i="3" s="1"/>
  <c r="P64" i="3" a="1"/>
  <c r="P64" i="3" s="1"/>
  <c r="Q64" i="3" s="1"/>
  <c r="R64" i="3" a="1"/>
  <c r="R64" i="3" s="1"/>
  <c r="S64" i="3" s="1"/>
  <c r="T64" i="3" a="1"/>
  <c r="T64" i="3" s="1"/>
  <c r="U64" i="3" s="1"/>
  <c r="V64" i="3" a="1"/>
  <c r="V64" i="3" s="1"/>
  <c r="W64" i="3" s="1"/>
  <c r="X64" i="3" a="1"/>
  <c r="X64" i="3" s="1"/>
  <c r="Y64" i="3" s="1"/>
  <c r="Z64" i="3" a="1"/>
  <c r="Z64" i="3" s="1"/>
  <c r="AA64" i="3" s="1"/>
  <c r="AB64" i="3" a="1"/>
  <c r="AB64" i="3" s="1"/>
  <c r="AC64" i="3" s="1"/>
  <c r="AD64" i="3" a="1"/>
  <c r="AD64" i="3" s="1"/>
  <c r="AE64" i="3" s="1"/>
  <c r="AF64" i="3" a="1"/>
  <c r="AF64" i="3" s="1"/>
  <c r="AG64" i="3" s="1"/>
  <c r="AH64" i="3" a="1"/>
  <c r="AH64" i="3" s="1"/>
  <c r="AI64" i="3" s="1"/>
  <c r="AJ64" i="3" a="1"/>
  <c r="AJ64" i="3" s="1"/>
  <c r="AK64" i="3" s="1"/>
  <c r="AL64" i="3" a="1"/>
  <c r="AL64" i="3" s="1"/>
  <c r="AM64" i="3" s="1"/>
  <c r="AN64" i="3" a="1"/>
  <c r="AN64" i="3" s="1"/>
  <c r="AO64" i="3" s="1"/>
  <c r="AP64" i="3" a="1"/>
  <c r="AP64" i="3" s="1"/>
  <c r="AQ64" i="3" s="1"/>
  <c r="F65" i="3" a="1"/>
  <c r="F65" i="3" s="1"/>
  <c r="G65" i="3" s="1"/>
  <c r="H65" i="3" a="1"/>
  <c r="H65" i="3" s="1"/>
  <c r="I65" i="3" s="1"/>
  <c r="J65" i="3" a="1"/>
  <c r="J65" i="3" s="1"/>
  <c r="K65" i="3" s="1"/>
  <c r="L65" i="3" a="1"/>
  <c r="L65" i="3" s="1"/>
  <c r="M65" i="3" s="1"/>
  <c r="N65" i="3" a="1"/>
  <c r="N65" i="3" s="1"/>
  <c r="O65" i="3" s="1"/>
  <c r="P65" i="3" a="1"/>
  <c r="P65" i="3" s="1"/>
  <c r="Q65" i="3" s="1"/>
  <c r="R65" i="3" a="1"/>
  <c r="R65" i="3" s="1"/>
  <c r="S65" i="3" s="1"/>
  <c r="T65" i="3" a="1"/>
  <c r="T65" i="3" s="1"/>
  <c r="U65" i="3" s="1"/>
  <c r="V65" i="3" a="1"/>
  <c r="V65" i="3" s="1"/>
  <c r="W65" i="3" s="1"/>
  <c r="X65" i="3" a="1"/>
  <c r="X65" i="3" s="1"/>
  <c r="Y65" i="3" s="1"/>
  <c r="Z65" i="3" a="1"/>
  <c r="Z65" i="3" s="1"/>
  <c r="AA65" i="3" s="1"/>
  <c r="AB65" i="3" a="1"/>
  <c r="AB65" i="3" s="1"/>
  <c r="AC65" i="3" s="1"/>
  <c r="AD65" i="3" a="1"/>
  <c r="AD65" i="3" s="1"/>
  <c r="AE65" i="3" s="1"/>
  <c r="AF65" i="3" a="1"/>
  <c r="AF65" i="3" s="1"/>
  <c r="AG65" i="3" s="1"/>
  <c r="AH65" i="3" a="1"/>
  <c r="AH65" i="3" s="1"/>
  <c r="AI65" i="3" s="1"/>
  <c r="AJ65" i="3" a="1"/>
  <c r="AJ65" i="3" s="1"/>
  <c r="AK65" i="3" s="1"/>
  <c r="AL65" i="3" a="1"/>
  <c r="AL65" i="3" s="1"/>
  <c r="AM65" i="3" s="1"/>
  <c r="AN65" i="3" a="1"/>
  <c r="AN65" i="3" s="1"/>
  <c r="AO65" i="3" s="1"/>
  <c r="AP65" i="3" a="1"/>
  <c r="AP65" i="3" s="1"/>
  <c r="AQ65" i="3" s="1"/>
  <c r="F66" i="3" a="1"/>
  <c r="F66" i="3" s="1"/>
  <c r="G66" i="3" s="1"/>
  <c r="H66" i="3" a="1"/>
  <c r="H66" i="3" s="1"/>
  <c r="I66" i="3" s="1"/>
  <c r="J66" i="3" a="1"/>
  <c r="J66" i="3" s="1"/>
  <c r="K66" i="3" s="1"/>
  <c r="L66" i="3" a="1"/>
  <c r="L66" i="3" s="1"/>
  <c r="M66" i="3" s="1"/>
  <c r="N66" i="3" a="1"/>
  <c r="N66" i="3" s="1"/>
  <c r="O66" i="3" s="1"/>
  <c r="P66" i="3" a="1"/>
  <c r="P66" i="3" s="1"/>
  <c r="Q66" i="3" s="1"/>
  <c r="R66" i="3" a="1"/>
  <c r="R66" i="3" s="1"/>
  <c r="S66" i="3" s="1"/>
  <c r="T66" i="3" a="1"/>
  <c r="T66" i="3" s="1"/>
  <c r="U66" i="3" s="1"/>
  <c r="V66" i="3" a="1"/>
  <c r="V66" i="3" s="1"/>
  <c r="W66" i="3" s="1"/>
  <c r="X66" i="3" a="1"/>
  <c r="X66" i="3" s="1"/>
  <c r="Y66" i="3" s="1"/>
  <c r="Z66" i="3" a="1"/>
  <c r="Z66" i="3" s="1"/>
  <c r="AA66" i="3" s="1"/>
  <c r="AB66" i="3" a="1"/>
  <c r="AB66" i="3" s="1"/>
  <c r="AC66" i="3" s="1"/>
  <c r="AD66" i="3" a="1"/>
  <c r="AD66" i="3" s="1"/>
  <c r="AE66" i="3" s="1"/>
  <c r="AF66" i="3" a="1"/>
  <c r="AF66" i="3" s="1"/>
  <c r="AG66" i="3" s="1"/>
  <c r="AH66" i="3" a="1"/>
  <c r="AH66" i="3" s="1"/>
  <c r="AI66" i="3" s="1"/>
  <c r="AJ66" i="3" a="1"/>
  <c r="AJ66" i="3" s="1"/>
  <c r="AK66" i="3" s="1"/>
  <c r="AL66" i="3" a="1"/>
  <c r="AL66" i="3" s="1"/>
  <c r="AM66" i="3" s="1"/>
  <c r="AN66" i="3" a="1"/>
  <c r="AN66" i="3" s="1"/>
  <c r="AO66" i="3" s="1"/>
  <c r="AP66" i="3" a="1"/>
  <c r="AP66" i="3" s="1"/>
  <c r="AQ66" i="3" s="1"/>
  <c r="F67" i="3" a="1"/>
  <c r="F67" i="3" s="1"/>
  <c r="G67" i="3" s="1"/>
  <c r="H67" i="3" a="1"/>
  <c r="H67" i="3" s="1"/>
  <c r="I67" i="3" s="1"/>
  <c r="J67" i="3" a="1"/>
  <c r="J67" i="3" s="1"/>
  <c r="K67" i="3" s="1"/>
  <c r="L67" i="3" a="1"/>
  <c r="L67" i="3" s="1"/>
  <c r="M67" i="3" s="1"/>
  <c r="N67" i="3" a="1"/>
  <c r="N67" i="3" s="1"/>
  <c r="O67" i="3" s="1"/>
  <c r="P67" i="3" a="1"/>
  <c r="P67" i="3" s="1"/>
  <c r="Q67" i="3" s="1"/>
  <c r="R67" i="3" a="1"/>
  <c r="R67" i="3" s="1"/>
  <c r="S67" i="3" s="1"/>
  <c r="T67" i="3" a="1"/>
  <c r="T67" i="3" s="1"/>
  <c r="U67" i="3" s="1"/>
  <c r="V67" i="3" a="1"/>
  <c r="V67" i="3" s="1"/>
  <c r="W67" i="3" s="1"/>
  <c r="X67" i="3" a="1"/>
  <c r="X67" i="3" s="1"/>
  <c r="Y67" i="3" s="1"/>
  <c r="Z67" i="3" a="1"/>
  <c r="Z67" i="3" s="1"/>
  <c r="AA67" i="3" s="1"/>
  <c r="AB67" i="3" a="1"/>
  <c r="AB67" i="3" s="1"/>
  <c r="AC67" i="3" s="1"/>
  <c r="AD67" i="3" a="1"/>
  <c r="AD67" i="3" s="1"/>
  <c r="AE67" i="3" s="1"/>
  <c r="AF67" i="3" a="1"/>
  <c r="AF67" i="3" s="1"/>
  <c r="AG67" i="3" s="1"/>
  <c r="AH67" i="3" a="1"/>
  <c r="AH67" i="3" s="1"/>
  <c r="AI67" i="3" s="1"/>
  <c r="AJ67" i="3" a="1"/>
  <c r="AJ67" i="3" s="1"/>
  <c r="AK67" i="3" s="1"/>
  <c r="AL67" i="3" a="1"/>
  <c r="AL67" i="3" s="1"/>
  <c r="AM67" i="3" s="1"/>
  <c r="AN67" i="3" a="1"/>
  <c r="AN67" i="3" s="1"/>
  <c r="AO67" i="3" s="1"/>
  <c r="AP67" i="3" a="1"/>
  <c r="AP67" i="3" s="1"/>
  <c r="AQ67" i="3" s="1"/>
  <c r="F68" i="3" a="1"/>
  <c r="F68" i="3" s="1"/>
  <c r="G68" i="3" s="1"/>
  <c r="H68" i="3" a="1"/>
  <c r="H68" i="3" s="1"/>
  <c r="I68" i="3" s="1"/>
  <c r="J68" i="3" a="1"/>
  <c r="J68" i="3" s="1"/>
  <c r="K68" i="3" s="1"/>
  <c r="L68" i="3" a="1"/>
  <c r="L68" i="3" s="1"/>
  <c r="M68" i="3" s="1"/>
  <c r="N68" i="3" a="1"/>
  <c r="N68" i="3" s="1"/>
  <c r="O68" i="3" s="1"/>
  <c r="P68" i="3" a="1"/>
  <c r="P68" i="3" s="1"/>
  <c r="Q68" i="3" s="1"/>
  <c r="R68" i="3" a="1"/>
  <c r="R68" i="3" s="1"/>
  <c r="S68" i="3" s="1"/>
  <c r="T68" i="3" a="1"/>
  <c r="T68" i="3" s="1"/>
  <c r="U68" i="3" s="1"/>
  <c r="V68" i="3" a="1"/>
  <c r="V68" i="3" s="1"/>
  <c r="W68" i="3" s="1"/>
  <c r="X68" i="3" a="1"/>
  <c r="X68" i="3" s="1"/>
  <c r="Y68" i="3" s="1"/>
  <c r="Z68" i="3" a="1"/>
  <c r="Z68" i="3" s="1"/>
  <c r="AA68" i="3" s="1"/>
  <c r="AB68" i="3" a="1"/>
  <c r="AB68" i="3" s="1"/>
  <c r="AC68" i="3" s="1"/>
  <c r="AD68" i="3" a="1"/>
  <c r="AD68" i="3" s="1"/>
  <c r="AE68" i="3" s="1"/>
  <c r="AF68" i="3" a="1"/>
  <c r="AF68" i="3" s="1"/>
  <c r="AG68" i="3" s="1"/>
  <c r="AH68" i="3" a="1"/>
  <c r="AH68" i="3" s="1"/>
  <c r="AI68" i="3" s="1"/>
  <c r="AJ68" i="3" a="1"/>
  <c r="AJ68" i="3" s="1"/>
  <c r="AK68" i="3" s="1"/>
  <c r="AL68" i="3" a="1"/>
  <c r="AL68" i="3" s="1"/>
  <c r="AM68" i="3" s="1"/>
  <c r="AN68" i="3" a="1"/>
  <c r="AN68" i="3" s="1"/>
  <c r="AO68" i="3" s="1"/>
  <c r="AP68" i="3" a="1"/>
  <c r="AP68" i="3" s="1"/>
  <c r="AQ68" i="3" s="1"/>
  <c r="F69" i="3" a="1"/>
  <c r="F69" i="3" s="1"/>
  <c r="G69" i="3" s="1"/>
  <c r="H69" i="3" a="1"/>
  <c r="H69" i="3" s="1"/>
  <c r="I69" i="3" s="1"/>
  <c r="J69" i="3" a="1"/>
  <c r="J69" i="3" s="1"/>
  <c r="K69" i="3" s="1"/>
  <c r="L69" i="3" a="1"/>
  <c r="L69" i="3" s="1"/>
  <c r="M69" i="3" s="1"/>
  <c r="N69" i="3" a="1"/>
  <c r="N69" i="3" s="1"/>
  <c r="O69" i="3" s="1"/>
  <c r="P69" i="3" a="1"/>
  <c r="P69" i="3" s="1"/>
  <c r="Q69" i="3" s="1"/>
  <c r="R69" i="3" a="1"/>
  <c r="R69" i="3" s="1"/>
  <c r="S69" i="3" s="1"/>
  <c r="T69" i="3" a="1"/>
  <c r="T69" i="3" s="1"/>
  <c r="U69" i="3" s="1"/>
  <c r="V69" i="3" a="1"/>
  <c r="V69" i="3" s="1"/>
  <c r="W69" i="3" s="1"/>
  <c r="X69" i="3" a="1"/>
  <c r="X69" i="3" s="1"/>
  <c r="Y69" i="3" s="1"/>
  <c r="Z69" i="3" a="1"/>
  <c r="Z69" i="3" s="1"/>
  <c r="AA69" i="3" s="1"/>
  <c r="AB69" i="3" a="1"/>
  <c r="AB69" i="3" s="1"/>
  <c r="AC69" i="3" s="1"/>
  <c r="AD69" i="3" a="1"/>
  <c r="AD69" i="3" s="1"/>
  <c r="AE69" i="3" s="1"/>
  <c r="AF69" i="3" a="1"/>
  <c r="AF69" i="3" s="1"/>
  <c r="AG69" i="3" s="1"/>
  <c r="AH69" i="3" a="1"/>
  <c r="AH69" i="3" s="1"/>
  <c r="AI69" i="3" s="1"/>
  <c r="AJ69" i="3" a="1"/>
  <c r="AJ69" i="3" s="1"/>
  <c r="AK69" i="3" s="1"/>
  <c r="AL69" i="3" a="1"/>
  <c r="AL69" i="3" s="1"/>
  <c r="AM69" i="3" s="1"/>
  <c r="AN69" i="3" a="1"/>
  <c r="AN69" i="3" s="1"/>
  <c r="AO69" i="3" s="1"/>
  <c r="AP69" i="3" a="1"/>
  <c r="AP69" i="3" s="1"/>
  <c r="AQ69" i="3" s="1"/>
  <c r="F70" i="3" a="1"/>
  <c r="F70" i="3" s="1"/>
  <c r="G70" i="3" s="1"/>
  <c r="H70" i="3" a="1"/>
  <c r="H70" i="3" s="1"/>
  <c r="I70" i="3" s="1"/>
  <c r="J70" i="3" a="1"/>
  <c r="J70" i="3" s="1"/>
  <c r="K70" i="3" s="1"/>
  <c r="L70" i="3" a="1"/>
  <c r="L70" i="3" s="1"/>
  <c r="M70" i="3" s="1"/>
  <c r="N70" i="3" a="1"/>
  <c r="N70" i="3" s="1"/>
  <c r="O70" i="3" s="1"/>
  <c r="P70" i="3" a="1"/>
  <c r="P70" i="3" s="1"/>
  <c r="Q70" i="3" s="1"/>
  <c r="R70" i="3" a="1"/>
  <c r="R70" i="3" s="1"/>
  <c r="S70" i="3" s="1"/>
  <c r="T70" i="3" a="1"/>
  <c r="T70" i="3" s="1"/>
  <c r="U70" i="3" s="1"/>
  <c r="V70" i="3" a="1"/>
  <c r="V70" i="3" s="1"/>
  <c r="W70" i="3" s="1"/>
  <c r="X70" i="3" a="1"/>
  <c r="X70" i="3" s="1"/>
  <c r="Y70" i="3" s="1"/>
  <c r="Z70" i="3" a="1"/>
  <c r="Z70" i="3" s="1"/>
  <c r="AA70" i="3" s="1"/>
  <c r="AB70" i="3" a="1"/>
  <c r="AB70" i="3" s="1"/>
  <c r="AC70" i="3" s="1"/>
  <c r="AD70" i="3" a="1"/>
  <c r="AD70" i="3" s="1"/>
  <c r="AE70" i="3" s="1"/>
  <c r="AF70" i="3" a="1"/>
  <c r="AF70" i="3" s="1"/>
  <c r="AG70" i="3" s="1"/>
  <c r="AH70" i="3" a="1"/>
  <c r="AH70" i="3" s="1"/>
  <c r="AI70" i="3" s="1"/>
  <c r="AJ70" i="3" a="1"/>
  <c r="AJ70" i="3" s="1"/>
  <c r="AK70" i="3" s="1"/>
  <c r="AL70" i="3" a="1"/>
  <c r="AL70" i="3" s="1"/>
  <c r="AM70" i="3" s="1"/>
  <c r="AN70" i="3" a="1"/>
  <c r="AN70" i="3" s="1"/>
  <c r="AO70" i="3" s="1"/>
  <c r="AP70" i="3" a="1"/>
  <c r="AP70" i="3" s="1"/>
  <c r="AQ70" i="3" s="1"/>
  <c r="F71" i="3" a="1"/>
  <c r="F71" i="3" s="1"/>
  <c r="G71" i="3" s="1"/>
  <c r="H71" i="3" a="1"/>
  <c r="H71" i="3" s="1"/>
  <c r="I71" i="3" s="1"/>
  <c r="J71" i="3" a="1"/>
  <c r="J71" i="3" s="1"/>
  <c r="K71" i="3" s="1"/>
  <c r="L71" i="3" a="1"/>
  <c r="L71" i="3" s="1"/>
  <c r="M71" i="3" s="1"/>
  <c r="N71" i="3" a="1"/>
  <c r="N71" i="3" s="1"/>
  <c r="O71" i="3" s="1"/>
  <c r="P71" i="3" a="1"/>
  <c r="P71" i="3" s="1"/>
  <c r="Q71" i="3" s="1"/>
  <c r="R71" i="3" a="1"/>
  <c r="R71" i="3" s="1"/>
  <c r="S71" i="3" s="1"/>
  <c r="T71" i="3" a="1"/>
  <c r="T71" i="3" s="1"/>
  <c r="U71" i="3" s="1"/>
  <c r="V71" i="3" a="1"/>
  <c r="V71" i="3" s="1"/>
  <c r="W71" i="3" s="1"/>
  <c r="X71" i="3" a="1"/>
  <c r="X71" i="3" s="1"/>
  <c r="Y71" i="3" s="1"/>
  <c r="Z71" i="3" a="1"/>
  <c r="Z71" i="3" s="1"/>
  <c r="AA71" i="3" s="1"/>
  <c r="AB71" i="3" a="1"/>
  <c r="AB71" i="3" s="1"/>
  <c r="AC71" i="3" s="1"/>
  <c r="AD71" i="3" a="1"/>
  <c r="AD71" i="3" s="1"/>
  <c r="AE71" i="3" s="1"/>
  <c r="AF71" i="3" a="1"/>
  <c r="AF71" i="3" s="1"/>
  <c r="AG71" i="3" s="1"/>
  <c r="AH71" i="3" a="1"/>
  <c r="AH71" i="3" s="1"/>
  <c r="AI71" i="3" s="1"/>
  <c r="AJ71" i="3" a="1"/>
  <c r="AJ71" i="3" s="1"/>
  <c r="AK71" i="3" s="1"/>
  <c r="AL71" i="3" a="1"/>
  <c r="AL71" i="3" s="1"/>
  <c r="AM71" i="3" s="1"/>
  <c r="AN71" i="3" a="1"/>
  <c r="AN71" i="3" s="1"/>
  <c r="AO71" i="3" s="1"/>
  <c r="AP71" i="3" a="1"/>
  <c r="AP71" i="3" s="1"/>
  <c r="AQ71" i="3" s="1"/>
  <c r="F72" i="3" a="1"/>
  <c r="F72" i="3" s="1"/>
  <c r="G72" i="3" s="1"/>
  <c r="H72" i="3" a="1"/>
  <c r="H72" i="3" s="1"/>
  <c r="I72" i="3" s="1"/>
  <c r="J72" i="3" a="1"/>
  <c r="J72" i="3" s="1"/>
  <c r="K72" i="3" s="1"/>
  <c r="L72" i="3" a="1"/>
  <c r="L72" i="3" s="1"/>
  <c r="M72" i="3" s="1"/>
  <c r="N72" i="3" a="1"/>
  <c r="N72" i="3" s="1"/>
  <c r="O72" i="3" s="1"/>
  <c r="P72" i="3" a="1"/>
  <c r="P72" i="3" s="1"/>
  <c r="Q72" i="3" s="1"/>
  <c r="R72" i="3" a="1"/>
  <c r="R72" i="3" s="1"/>
  <c r="S72" i="3" s="1"/>
  <c r="T72" i="3" a="1"/>
  <c r="T72" i="3" s="1"/>
  <c r="U72" i="3" s="1"/>
  <c r="V72" i="3" a="1"/>
  <c r="V72" i="3" s="1"/>
  <c r="W72" i="3" s="1"/>
  <c r="X72" i="3" a="1"/>
  <c r="X72" i="3" s="1"/>
  <c r="Y72" i="3" s="1"/>
  <c r="Z72" i="3" a="1"/>
  <c r="Z72" i="3" s="1"/>
  <c r="AA72" i="3" s="1"/>
  <c r="AB72" i="3" a="1"/>
  <c r="AB72" i="3" s="1"/>
  <c r="AC72" i="3" s="1"/>
  <c r="AD72" i="3" a="1"/>
  <c r="AD72" i="3" s="1"/>
  <c r="AE72" i="3" s="1"/>
  <c r="AF72" i="3" a="1"/>
  <c r="AF72" i="3" s="1"/>
  <c r="AG72" i="3" s="1"/>
  <c r="AH72" i="3" a="1"/>
  <c r="AH72" i="3" s="1"/>
  <c r="AI72" i="3" s="1"/>
  <c r="AJ72" i="3" a="1"/>
  <c r="AJ72" i="3" s="1"/>
  <c r="AK72" i="3" s="1"/>
  <c r="AL72" i="3" a="1"/>
  <c r="AL72" i="3" s="1"/>
  <c r="AM72" i="3" s="1"/>
  <c r="AN72" i="3" a="1"/>
  <c r="AN72" i="3" s="1"/>
  <c r="AO72" i="3" s="1"/>
  <c r="AP72" i="3" a="1"/>
  <c r="AP72" i="3" s="1"/>
  <c r="AQ72" i="3" s="1"/>
  <c r="F73" i="3" a="1"/>
  <c r="F73" i="3" s="1"/>
  <c r="G73" i="3" s="1"/>
  <c r="H73" i="3" a="1"/>
  <c r="H73" i="3" s="1"/>
  <c r="I73" i="3" s="1"/>
  <c r="J73" i="3" a="1"/>
  <c r="J73" i="3" s="1"/>
  <c r="K73" i="3" s="1"/>
  <c r="L73" i="3" a="1"/>
  <c r="L73" i="3" s="1"/>
  <c r="M73" i="3" s="1"/>
  <c r="N73" i="3" a="1"/>
  <c r="N73" i="3" s="1"/>
  <c r="O73" i="3" s="1"/>
  <c r="P73" i="3" a="1"/>
  <c r="P73" i="3" s="1"/>
  <c r="Q73" i="3" s="1"/>
  <c r="R73" i="3" a="1"/>
  <c r="R73" i="3" s="1"/>
  <c r="S73" i="3" s="1"/>
  <c r="T73" i="3" a="1"/>
  <c r="T73" i="3" s="1"/>
  <c r="U73" i="3" s="1"/>
  <c r="V73" i="3" a="1"/>
  <c r="V73" i="3" s="1"/>
  <c r="W73" i="3" s="1"/>
  <c r="X73" i="3" a="1"/>
  <c r="X73" i="3" s="1"/>
  <c r="Y73" i="3" s="1"/>
  <c r="Z73" i="3" a="1"/>
  <c r="Z73" i="3" s="1"/>
  <c r="AA73" i="3" s="1"/>
  <c r="AB73" i="3" a="1"/>
  <c r="AB73" i="3" s="1"/>
  <c r="AC73" i="3" s="1"/>
  <c r="AD73" i="3" a="1"/>
  <c r="AD73" i="3" s="1"/>
  <c r="AE73" i="3" s="1"/>
  <c r="AF73" i="3" a="1"/>
  <c r="AF73" i="3" s="1"/>
  <c r="AG73" i="3" s="1"/>
  <c r="AH73" i="3" a="1"/>
  <c r="AH73" i="3" s="1"/>
  <c r="AI73" i="3" s="1"/>
  <c r="AJ73" i="3" a="1"/>
  <c r="AJ73" i="3" s="1"/>
  <c r="AK73" i="3" s="1"/>
  <c r="AL73" i="3" a="1"/>
  <c r="AL73" i="3" s="1"/>
  <c r="AM73" i="3" s="1"/>
  <c r="AN73" i="3" a="1"/>
  <c r="AN73" i="3" s="1"/>
  <c r="AO73" i="3" s="1"/>
  <c r="AP73" i="3" a="1"/>
  <c r="AP73" i="3" s="1"/>
  <c r="AQ73" i="3" s="1"/>
  <c r="F74" i="3" a="1"/>
  <c r="F74" i="3" s="1"/>
  <c r="G74" i="3" s="1"/>
  <c r="H74" i="3" a="1"/>
  <c r="H74" i="3" s="1"/>
  <c r="I74" i="3" s="1"/>
  <c r="J74" i="3" a="1"/>
  <c r="J74" i="3" s="1"/>
  <c r="K74" i="3" s="1"/>
  <c r="L74" i="3" a="1"/>
  <c r="L74" i="3" s="1"/>
  <c r="M74" i="3" s="1"/>
  <c r="N74" i="3" a="1"/>
  <c r="N74" i="3" s="1"/>
  <c r="O74" i="3" s="1"/>
  <c r="P74" i="3" a="1"/>
  <c r="P74" i="3" s="1"/>
  <c r="Q74" i="3" s="1"/>
  <c r="R74" i="3" a="1"/>
  <c r="R74" i="3" s="1"/>
  <c r="S74" i="3" s="1"/>
  <c r="T74" i="3" a="1"/>
  <c r="T74" i="3" s="1"/>
  <c r="U74" i="3" s="1"/>
  <c r="V74" i="3" a="1"/>
  <c r="V74" i="3" s="1"/>
  <c r="W74" i="3" s="1"/>
  <c r="X74" i="3" a="1"/>
  <c r="X74" i="3" s="1"/>
  <c r="Y74" i="3" s="1"/>
  <c r="Z74" i="3" a="1"/>
  <c r="Z74" i="3" s="1"/>
  <c r="AA74" i="3" s="1"/>
  <c r="AB74" i="3" a="1"/>
  <c r="AB74" i="3" s="1"/>
  <c r="AC74" i="3" s="1"/>
  <c r="AD74" i="3" a="1"/>
  <c r="AD74" i="3" s="1"/>
  <c r="AE74" i="3" s="1"/>
  <c r="AF74" i="3" a="1"/>
  <c r="AF74" i="3" s="1"/>
  <c r="AG74" i="3" s="1"/>
  <c r="AH74" i="3" a="1"/>
  <c r="AH74" i="3" s="1"/>
  <c r="AI74" i="3" s="1"/>
  <c r="AJ74" i="3" a="1"/>
  <c r="AJ74" i="3" s="1"/>
  <c r="AK74" i="3" s="1"/>
  <c r="AL74" i="3" a="1"/>
  <c r="AL74" i="3" s="1"/>
  <c r="AM74" i="3" s="1"/>
  <c r="AN74" i="3" a="1"/>
  <c r="AN74" i="3" s="1"/>
  <c r="AO74" i="3" s="1"/>
  <c r="AP74" i="3" a="1"/>
  <c r="AP74" i="3" s="1"/>
  <c r="AQ74" i="3" s="1"/>
  <c r="F75" i="3" a="1"/>
  <c r="F75" i="3" s="1"/>
  <c r="G75" i="3" s="1"/>
  <c r="H75" i="3" a="1"/>
  <c r="H75" i="3" s="1"/>
  <c r="I75" i="3" s="1"/>
  <c r="J75" i="3" a="1"/>
  <c r="J75" i="3" s="1"/>
  <c r="K75" i="3" s="1"/>
  <c r="L75" i="3" a="1"/>
  <c r="L75" i="3" s="1"/>
  <c r="M75" i="3" s="1"/>
  <c r="N75" i="3" a="1"/>
  <c r="N75" i="3" s="1"/>
  <c r="O75" i="3" s="1"/>
  <c r="P75" i="3" a="1"/>
  <c r="P75" i="3" s="1"/>
  <c r="Q75" i="3" s="1"/>
  <c r="R75" i="3" a="1"/>
  <c r="R75" i="3" s="1"/>
  <c r="S75" i="3" s="1"/>
  <c r="T75" i="3" a="1"/>
  <c r="T75" i="3" s="1"/>
  <c r="U75" i="3" s="1"/>
  <c r="V75" i="3" a="1"/>
  <c r="V75" i="3" s="1"/>
  <c r="W75" i="3" s="1"/>
  <c r="X75" i="3" a="1"/>
  <c r="X75" i="3" s="1"/>
  <c r="Y75" i="3" s="1"/>
  <c r="Z75" i="3" a="1"/>
  <c r="Z75" i="3" s="1"/>
  <c r="AA75" i="3" s="1"/>
  <c r="AB75" i="3" a="1"/>
  <c r="AB75" i="3" s="1"/>
  <c r="AC75" i="3" s="1"/>
  <c r="AD75" i="3" a="1"/>
  <c r="AD75" i="3" s="1"/>
  <c r="AE75" i="3" s="1"/>
  <c r="AF75" i="3" a="1"/>
  <c r="AF75" i="3" s="1"/>
  <c r="AG75" i="3" s="1"/>
  <c r="AH75" i="3" a="1"/>
  <c r="AH75" i="3" s="1"/>
  <c r="AI75" i="3" s="1"/>
  <c r="AJ75" i="3" a="1"/>
  <c r="AJ75" i="3" s="1"/>
  <c r="AK75" i="3" s="1"/>
  <c r="AL75" i="3" a="1"/>
  <c r="AL75" i="3" s="1"/>
  <c r="AM75" i="3" s="1"/>
  <c r="AN75" i="3" a="1"/>
  <c r="AN75" i="3" s="1"/>
  <c r="AO75" i="3" s="1"/>
  <c r="AP75" i="3" a="1"/>
  <c r="AP75" i="3" s="1"/>
  <c r="AQ75" i="3" s="1"/>
  <c r="F76" i="3" a="1"/>
  <c r="F76" i="3" s="1"/>
  <c r="G76" i="3" s="1"/>
  <c r="H76" i="3" a="1"/>
  <c r="H76" i="3" s="1"/>
  <c r="I76" i="3" s="1"/>
  <c r="J76" i="3" a="1"/>
  <c r="J76" i="3" s="1"/>
  <c r="K76" i="3" s="1"/>
  <c r="L76" i="3" a="1"/>
  <c r="L76" i="3" s="1"/>
  <c r="M76" i="3" s="1"/>
  <c r="N76" i="3" a="1"/>
  <c r="N76" i="3" s="1"/>
  <c r="O76" i="3" s="1"/>
  <c r="P76" i="3" a="1"/>
  <c r="P76" i="3" s="1"/>
  <c r="Q76" i="3" s="1"/>
  <c r="R76" i="3" a="1"/>
  <c r="R76" i="3" s="1"/>
  <c r="S76" i="3" s="1"/>
  <c r="T76" i="3" a="1"/>
  <c r="T76" i="3" s="1"/>
  <c r="U76" i="3" s="1"/>
  <c r="V76" i="3" a="1"/>
  <c r="V76" i="3" s="1"/>
  <c r="W76" i="3" s="1"/>
  <c r="X76" i="3" a="1"/>
  <c r="X76" i="3" s="1"/>
  <c r="Y76" i="3" s="1"/>
  <c r="Z76" i="3" a="1"/>
  <c r="Z76" i="3" s="1"/>
  <c r="AA76" i="3" s="1"/>
  <c r="AB76" i="3" a="1"/>
  <c r="AB76" i="3" s="1"/>
  <c r="AC76" i="3" s="1"/>
  <c r="AD76" i="3" a="1"/>
  <c r="AD76" i="3" s="1"/>
  <c r="AE76" i="3" s="1"/>
  <c r="AF76" i="3" a="1"/>
  <c r="AF76" i="3" s="1"/>
  <c r="AG76" i="3" s="1"/>
  <c r="AH76" i="3" a="1"/>
  <c r="AH76" i="3" s="1"/>
  <c r="AI76" i="3" s="1"/>
  <c r="AJ76" i="3" a="1"/>
  <c r="AJ76" i="3" s="1"/>
  <c r="AK76" i="3" s="1"/>
  <c r="AL76" i="3" a="1"/>
  <c r="AL76" i="3" s="1"/>
  <c r="AM76" i="3" s="1"/>
  <c r="AN76" i="3" a="1"/>
  <c r="AN76" i="3" s="1"/>
  <c r="AO76" i="3" s="1"/>
  <c r="AP76" i="3" a="1"/>
  <c r="AP76" i="3" s="1"/>
  <c r="AQ76" i="3" s="1"/>
  <c r="F77" i="3" a="1"/>
  <c r="F77" i="3" s="1"/>
  <c r="G77" i="3" s="1"/>
  <c r="H77" i="3" a="1"/>
  <c r="H77" i="3" s="1"/>
  <c r="I77" i="3" s="1"/>
  <c r="J77" i="3" a="1"/>
  <c r="J77" i="3" s="1"/>
  <c r="K77" i="3" s="1"/>
  <c r="L77" i="3" a="1"/>
  <c r="L77" i="3" s="1"/>
  <c r="M77" i="3" s="1"/>
  <c r="N77" i="3" a="1"/>
  <c r="N77" i="3" s="1"/>
  <c r="O77" i="3" s="1"/>
  <c r="P77" i="3" a="1"/>
  <c r="P77" i="3" s="1"/>
  <c r="Q77" i="3" s="1"/>
  <c r="R77" i="3" a="1"/>
  <c r="R77" i="3" s="1"/>
  <c r="S77" i="3" s="1"/>
  <c r="T77" i="3" a="1"/>
  <c r="T77" i="3" s="1"/>
  <c r="U77" i="3" s="1"/>
  <c r="V77" i="3" a="1"/>
  <c r="V77" i="3" s="1"/>
  <c r="W77" i="3" s="1"/>
  <c r="X77" i="3" a="1"/>
  <c r="X77" i="3" s="1"/>
  <c r="Y77" i="3" s="1"/>
  <c r="Z77" i="3" a="1"/>
  <c r="Z77" i="3" s="1"/>
  <c r="AA77" i="3" s="1"/>
  <c r="AB77" i="3" a="1"/>
  <c r="AB77" i="3" s="1"/>
  <c r="AC77" i="3" s="1"/>
  <c r="AD77" i="3" a="1"/>
  <c r="AD77" i="3" s="1"/>
  <c r="AE77" i="3" s="1"/>
  <c r="AF77" i="3" a="1"/>
  <c r="AF77" i="3" s="1"/>
  <c r="AG77" i="3" s="1"/>
  <c r="AH77" i="3" a="1"/>
  <c r="AH77" i="3" s="1"/>
  <c r="AI77" i="3" s="1"/>
  <c r="AJ77" i="3" a="1"/>
  <c r="AJ77" i="3" s="1"/>
  <c r="AK77" i="3" s="1"/>
  <c r="AL77" i="3" a="1"/>
  <c r="AL77" i="3" s="1"/>
  <c r="AM77" i="3" s="1"/>
  <c r="AN77" i="3" a="1"/>
  <c r="AN77" i="3" s="1"/>
  <c r="AO77" i="3" s="1"/>
  <c r="AP77" i="3" a="1"/>
  <c r="AP77" i="3" s="1"/>
  <c r="AQ77" i="3" s="1"/>
  <c r="F78" i="3" a="1"/>
  <c r="F78" i="3" s="1"/>
  <c r="G78" i="3" s="1"/>
  <c r="H78" i="3" a="1"/>
  <c r="H78" i="3" s="1"/>
  <c r="I78" i="3" s="1"/>
  <c r="J78" i="3" a="1"/>
  <c r="J78" i="3" s="1"/>
  <c r="K78" i="3" s="1"/>
  <c r="L78" i="3" a="1"/>
  <c r="L78" i="3" s="1"/>
  <c r="M78" i="3" s="1"/>
  <c r="N78" i="3" a="1"/>
  <c r="N78" i="3" s="1"/>
  <c r="O78" i="3" s="1"/>
  <c r="P78" i="3" a="1"/>
  <c r="P78" i="3" s="1"/>
  <c r="Q78" i="3" s="1"/>
  <c r="R78" i="3" a="1"/>
  <c r="R78" i="3" s="1"/>
  <c r="S78" i="3" s="1"/>
  <c r="T78" i="3" a="1"/>
  <c r="T78" i="3" s="1"/>
  <c r="U78" i="3" s="1"/>
  <c r="V78" i="3" a="1"/>
  <c r="V78" i="3" s="1"/>
  <c r="W78" i="3" s="1"/>
  <c r="X78" i="3" a="1"/>
  <c r="X78" i="3" s="1"/>
  <c r="Y78" i="3" s="1"/>
  <c r="Z78" i="3" a="1"/>
  <c r="Z78" i="3" s="1"/>
  <c r="AA78" i="3" s="1"/>
  <c r="AB78" i="3" a="1"/>
  <c r="AB78" i="3" s="1"/>
  <c r="AC78" i="3" s="1"/>
  <c r="AD78" i="3" a="1"/>
  <c r="AD78" i="3" s="1"/>
  <c r="AE78" i="3" s="1"/>
  <c r="AF78" i="3" a="1"/>
  <c r="AF78" i="3" s="1"/>
  <c r="AG78" i="3" s="1"/>
  <c r="AH78" i="3" a="1"/>
  <c r="AH78" i="3" s="1"/>
  <c r="AI78" i="3" s="1"/>
  <c r="AJ78" i="3" a="1"/>
  <c r="AJ78" i="3" s="1"/>
  <c r="AK78" i="3" s="1"/>
  <c r="AL78" i="3" a="1"/>
  <c r="AL78" i="3" s="1"/>
  <c r="AM78" i="3" s="1"/>
  <c r="AN78" i="3" a="1"/>
  <c r="AN78" i="3" s="1"/>
  <c r="AO78" i="3" s="1"/>
  <c r="AP78" i="3" a="1"/>
  <c r="AP78" i="3" s="1"/>
  <c r="AQ78" i="3" s="1"/>
  <c r="F79" i="3" a="1"/>
  <c r="F79" i="3" s="1"/>
  <c r="G79" i="3" s="1"/>
  <c r="H79" i="3" a="1"/>
  <c r="H79" i="3" s="1"/>
  <c r="I79" i="3" s="1"/>
  <c r="J79" i="3" a="1"/>
  <c r="J79" i="3" s="1"/>
  <c r="K79" i="3" s="1"/>
  <c r="L79" i="3" a="1"/>
  <c r="L79" i="3" s="1"/>
  <c r="M79" i="3" s="1"/>
  <c r="N79" i="3" a="1"/>
  <c r="N79" i="3" s="1"/>
  <c r="O79" i="3" s="1"/>
  <c r="P79" i="3" a="1"/>
  <c r="P79" i="3" s="1"/>
  <c r="Q79" i="3" s="1"/>
  <c r="R79" i="3" a="1"/>
  <c r="R79" i="3" s="1"/>
  <c r="S79" i="3" s="1"/>
  <c r="T79" i="3" a="1"/>
  <c r="T79" i="3" s="1"/>
  <c r="U79" i="3" s="1"/>
  <c r="V79" i="3" a="1"/>
  <c r="V79" i="3" s="1"/>
  <c r="W79" i="3" s="1"/>
  <c r="X79" i="3" a="1"/>
  <c r="X79" i="3" s="1"/>
  <c r="Y79" i="3" s="1"/>
  <c r="Z79" i="3" a="1"/>
  <c r="Z79" i="3" s="1"/>
  <c r="AA79" i="3" s="1"/>
  <c r="AB79" i="3" a="1"/>
  <c r="AB79" i="3" s="1"/>
  <c r="AC79" i="3" s="1"/>
  <c r="AD79" i="3" a="1"/>
  <c r="AD79" i="3" s="1"/>
  <c r="AE79" i="3" s="1"/>
  <c r="AF79" i="3" a="1"/>
  <c r="AF79" i="3" s="1"/>
  <c r="AG79" i="3" s="1"/>
  <c r="AH79" i="3" a="1"/>
  <c r="AH79" i="3" s="1"/>
  <c r="AI79" i="3" s="1"/>
  <c r="AJ79" i="3" a="1"/>
  <c r="AJ79" i="3" s="1"/>
  <c r="AK79" i="3" s="1"/>
  <c r="AL79" i="3" a="1"/>
  <c r="AL79" i="3" s="1"/>
  <c r="AM79" i="3" s="1"/>
  <c r="AN79" i="3" a="1"/>
  <c r="AN79" i="3" s="1"/>
  <c r="AO79" i="3" s="1"/>
  <c r="AP79" i="3" a="1"/>
  <c r="AP79" i="3" s="1"/>
  <c r="AQ79" i="3" s="1"/>
  <c r="F80" i="3" a="1"/>
  <c r="F80" i="3" s="1"/>
  <c r="G80" i="3" s="1"/>
  <c r="H80" i="3" a="1"/>
  <c r="H80" i="3" s="1"/>
  <c r="I80" i="3" s="1"/>
  <c r="J80" i="3" a="1"/>
  <c r="J80" i="3" s="1"/>
  <c r="K80" i="3" s="1"/>
  <c r="L80" i="3" a="1"/>
  <c r="L80" i="3" s="1"/>
  <c r="M80" i="3" s="1"/>
  <c r="N80" i="3" a="1"/>
  <c r="N80" i="3" s="1"/>
  <c r="O80" i="3" s="1"/>
  <c r="P80" i="3" a="1"/>
  <c r="P80" i="3" s="1"/>
  <c r="Q80" i="3" s="1"/>
  <c r="R80" i="3" a="1"/>
  <c r="R80" i="3" s="1"/>
  <c r="S80" i="3" s="1"/>
  <c r="T80" i="3" a="1"/>
  <c r="T80" i="3" s="1"/>
  <c r="U80" i="3" s="1"/>
  <c r="V80" i="3" a="1"/>
  <c r="V80" i="3" s="1"/>
  <c r="W80" i="3" s="1"/>
  <c r="X80" i="3" a="1"/>
  <c r="X80" i="3" s="1"/>
  <c r="Y80" i="3" s="1"/>
  <c r="Z80" i="3" a="1"/>
  <c r="Z80" i="3" s="1"/>
  <c r="AA80" i="3" s="1"/>
  <c r="AB80" i="3" a="1"/>
  <c r="AB80" i="3" s="1"/>
  <c r="AC80" i="3" s="1"/>
  <c r="AD80" i="3" a="1"/>
  <c r="AD80" i="3" s="1"/>
  <c r="AE80" i="3" s="1"/>
  <c r="AF80" i="3" a="1"/>
  <c r="AF80" i="3" s="1"/>
  <c r="AG80" i="3" s="1"/>
  <c r="AH80" i="3" a="1"/>
  <c r="AH80" i="3" s="1"/>
  <c r="AI80" i="3" s="1"/>
  <c r="AJ80" i="3" a="1"/>
  <c r="AJ80" i="3" s="1"/>
  <c r="AK80" i="3" s="1"/>
  <c r="AL80" i="3" a="1"/>
  <c r="AL80" i="3" s="1"/>
  <c r="AM80" i="3" s="1"/>
  <c r="AN80" i="3" a="1"/>
  <c r="AN80" i="3" s="1"/>
  <c r="AO80" i="3" s="1"/>
  <c r="AP80" i="3" a="1"/>
  <c r="AP80" i="3" s="1"/>
  <c r="AQ80" i="3" s="1"/>
  <c r="F81" i="3" a="1"/>
  <c r="F81" i="3" s="1"/>
  <c r="G81" i="3" s="1"/>
  <c r="H81" i="3" a="1"/>
  <c r="H81" i="3" s="1"/>
  <c r="I81" i="3" s="1"/>
  <c r="J81" i="3" a="1"/>
  <c r="J81" i="3" s="1"/>
  <c r="K81" i="3" s="1"/>
  <c r="L81" i="3" a="1"/>
  <c r="L81" i="3" s="1"/>
  <c r="M81" i="3" s="1"/>
  <c r="N81" i="3" a="1"/>
  <c r="N81" i="3" s="1"/>
  <c r="O81" i="3" s="1"/>
  <c r="P81" i="3" a="1"/>
  <c r="P81" i="3" s="1"/>
  <c r="Q81" i="3" s="1"/>
  <c r="R81" i="3" a="1"/>
  <c r="R81" i="3" s="1"/>
  <c r="S81" i="3" s="1"/>
  <c r="T81" i="3" a="1"/>
  <c r="T81" i="3" s="1"/>
  <c r="U81" i="3" s="1"/>
  <c r="V81" i="3" a="1"/>
  <c r="V81" i="3" s="1"/>
  <c r="W81" i="3" s="1"/>
  <c r="X81" i="3" a="1"/>
  <c r="X81" i="3" s="1"/>
  <c r="Y81" i="3" s="1"/>
  <c r="Z81" i="3" a="1"/>
  <c r="Z81" i="3" s="1"/>
  <c r="AA81" i="3" s="1"/>
  <c r="AB81" i="3" a="1"/>
  <c r="AB81" i="3" s="1"/>
  <c r="AC81" i="3" s="1"/>
  <c r="AD81" i="3" a="1"/>
  <c r="AD81" i="3" s="1"/>
  <c r="AE81" i="3" s="1"/>
  <c r="AF81" i="3" a="1"/>
  <c r="AF81" i="3" s="1"/>
  <c r="AG81" i="3" s="1"/>
  <c r="AH81" i="3" a="1"/>
  <c r="AH81" i="3" s="1"/>
  <c r="AI81" i="3" s="1"/>
  <c r="AJ81" i="3" a="1"/>
  <c r="AJ81" i="3" s="1"/>
  <c r="AK81" i="3" s="1"/>
  <c r="AL81" i="3" a="1"/>
  <c r="AL81" i="3" s="1"/>
  <c r="AM81" i="3" s="1"/>
  <c r="AN81" i="3" a="1"/>
  <c r="AN81" i="3" s="1"/>
  <c r="AO81" i="3" s="1"/>
  <c r="AP81" i="3" a="1"/>
  <c r="AP81" i="3" s="1"/>
  <c r="AQ81" i="3" s="1"/>
  <c r="F82" i="3" a="1"/>
  <c r="F82" i="3" s="1"/>
  <c r="G82" i="3" s="1"/>
  <c r="H82" i="3" a="1"/>
  <c r="H82" i="3" s="1"/>
  <c r="I82" i="3" s="1"/>
  <c r="J82" i="3" a="1"/>
  <c r="J82" i="3" s="1"/>
  <c r="K82" i="3" s="1"/>
  <c r="L82" i="3" a="1"/>
  <c r="L82" i="3" s="1"/>
  <c r="M82" i="3" s="1"/>
  <c r="N82" i="3" a="1"/>
  <c r="N82" i="3" s="1"/>
  <c r="O82" i="3" s="1"/>
  <c r="P82" i="3" a="1"/>
  <c r="P82" i="3" s="1"/>
  <c r="Q82" i="3" s="1"/>
  <c r="R82" i="3" a="1"/>
  <c r="R82" i="3" s="1"/>
  <c r="S82" i="3" s="1"/>
  <c r="T82" i="3" a="1"/>
  <c r="T82" i="3" s="1"/>
  <c r="U82" i="3" s="1"/>
  <c r="V82" i="3" a="1"/>
  <c r="V82" i="3" s="1"/>
  <c r="W82" i="3" s="1"/>
  <c r="X82" i="3" a="1"/>
  <c r="X82" i="3" s="1"/>
  <c r="Y82" i="3" s="1"/>
  <c r="Z82" i="3" a="1"/>
  <c r="Z82" i="3" s="1"/>
  <c r="AA82" i="3" s="1"/>
  <c r="AB82" i="3" a="1"/>
  <c r="AB82" i="3" s="1"/>
  <c r="AC82" i="3" s="1"/>
  <c r="AD82" i="3" a="1"/>
  <c r="AD82" i="3" s="1"/>
  <c r="AE82" i="3" s="1"/>
  <c r="AF82" i="3" a="1"/>
  <c r="AF82" i="3" s="1"/>
  <c r="AG82" i="3" s="1"/>
  <c r="AH82" i="3" a="1"/>
  <c r="AH82" i="3" s="1"/>
  <c r="AI82" i="3" s="1"/>
  <c r="AJ82" i="3" a="1"/>
  <c r="AJ82" i="3" s="1"/>
  <c r="AK82" i="3" s="1"/>
  <c r="AL82" i="3" a="1"/>
  <c r="AL82" i="3" s="1"/>
  <c r="AM82" i="3" s="1"/>
  <c r="AN82" i="3" a="1"/>
  <c r="AN82" i="3" s="1"/>
  <c r="AO82" i="3" s="1"/>
  <c r="AP82" i="3" a="1"/>
  <c r="AP82" i="3" s="1"/>
  <c r="AQ82" i="3" s="1"/>
  <c r="F83" i="3" a="1"/>
  <c r="F83" i="3" s="1"/>
  <c r="G83" i="3" s="1"/>
  <c r="H83" i="3" a="1"/>
  <c r="H83" i="3" s="1"/>
  <c r="I83" i="3" s="1"/>
  <c r="J83" i="3" a="1"/>
  <c r="J83" i="3" s="1"/>
  <c r="K83" i="3" s="1"/>
  <c r="L83" i="3" a="1"/>
  <c r="L83" i="3" s="1"/>
  <c r="M83" i="3" s="1"/>
  <c r="N83" i="3" a="1"/>
  <c r="N83" i="3" s="1"/>
  <c r="O83" i="3" s="1"/>
  <c r="P83" i="3" a="1"/>
  <c r="P83" i="3" s="1"/>
  <c r="Q83" i="3" s="1"/>
  <c r="R83" i="3" a="1"/>
  <c r="R83" i="3" s="1"/>
  <c r="S83" i="3" s="1"/>
  <c r="T83" i="3" a="1"/>
  <c r="T83" i="3" s="1"/>
  <c r="U83" i="3" s="1"/>
  <c r="V83" i="3" a="1"/>
  <c r="V83" i="3" s="1"/>
  <c r="W83" i="3" s="1"/>
  <c r="X83" i="3" a="1"/>
  <c r="X83" i="3" s="1"/>
  <c r="Y83" i="3" s="1"/>
  <c r="Z83" i="3" a="1"/>
  <c r="Z83" i="3" s="1"/>
  <c r="AA83" i="3" s="1"/>
  <c r="AB83" i="3" a="1"/>
  <c r="AB83" i="3" s="1"/>
  <c r="AC83" i="3" s="1"/>
  <c r="AD83" i="3" a="1"/>
  <c r="AD83" i="3" s="1"/>
  <c r="AE83" i="3" s="1"/>
  <c r="AF83" i="3" a="1"/>
  <c r="AF83" i="3" s="1"/>
  <c r="AG83" i="3" s="1"/>
  <c r="AH83" i="3" a="1"/>
  <c r="AH83" i="3" s="1"/>
  <c r="AI83" i="3" s="1"/>
  <c r="AJ83" i="3" a="1"/>
  <c r="AJ83" i="3" s="1"/>
  <c r="AK83" i="3" s="1"/>
  <c r="AL83" i="3" a="1"/>
  <c r="AL83" i="3" s="1"/>
  <c r="AM83" i="3" s="1"/>
  <c r="AN83" i="3" a="1"/>
  <c r="AN83" i="3" s="1"/>
  <c r="AO83" i="3" s="1"/>
  <c r="AP83" i="3" a="1"/>
  <c r="AP83" i="3" s="1"/>
  <c r="AQ83" i="3" s="1"/>
  <c r="F84" i="3" a="1"/>
  <c r="F84" i="3" s="1"/>
  <c r="G84" i="3" s="1"/>
  <c r="H84" i="3" a="1"/>
  <c r="H84" i="3" s="1"/>
  <c r="I84" i="3" s="1"/>
  <c r="J84" i="3" a="1"/>
  <c r="J84" i="3" s="1"/>
  <c r="K84" i="3" s="1"/>
  <c r="L84" i="3" a="1"/>
  <c r="L84" i="3" s="1"/>
  <c r="M84" i="3" s="1"/>
  <c r="N84" i="3" a="1"/>
  <c r="N84" i="3" s="1"/>
  <c r="O84" i="3" s="1"/>
  <c r="P84" i="3" a="1"/>
  <c r="P84" i="3" s="1"/>
  <c r="Q84" i="3" s="1"/>
  <c r="R84" i="3" a="1"/>
  <c r="R84" i="3" s="1"/>
  <c r="S84" i="3" s="1"/>
  <c r="T84" i="3" a="1"/>
  <c r="T84" i="3" s="1"/>
  <c r="U84" i="3" s="1"/>
  <c r="V84" i="3" a="1"/>
  <c r="V84" i="3" s="1"/>
  <c r="W84" i="3" s="1"/>
  <c r="X84" i="3" a="1"/>
  <c r="X84" i="3" s="1"/>
  <c r="Y84" i="3" s="1"/>
  <c r="Z84" i="3" a="1"/>
  <c r="Z84" i="3" s="1"/>
  <c r="AA84" i="3" s="1"/>
  <c r="AB84" i="3" a="1"/>
  <c r="AB84" i="3" s="1"/>
  <c r="AC84" i="3" s="1"/>
  <c r="AD84" i="3" a="1"/>
  <c r="AD84" i="3" s="1"/>
  <c r="AE84" i="3" s="1"/>
  <c r="AF84" i="3" a="1"/>
  <c r="AF84" i="3" s="1"/>
  <c r="AG84" i="3" s="1"/>
  <c r="AH84" i="3" a="1"/>
  <c r="AH84" i="3" s="1"/>
  <c r="AI84" i="3" s="1"/>
  <c r="AJ84" i="3" a="1"/>
  <c r="AJ84" i="3" s="1"/>
  <c r="AK84" i="3" s="1"/>
  <c r="AL84" i="3" a="1"/>
  <c r="AL84" i="3" s="1"/>
  <c r="AM84" i="3" s="1"/>
  <c r="AN84" i="3" a="1"/>
  <c r="AN84" i="3" s="1"/>
  <c r="AO84" i="3" s="1"/>
  <c r="AP84" i="3" a="1"/>
  <c r="AP84" i="3" s="1"/>
  <c r="AQ84" i="3" s="1"/>
  <c r="F85" i="3" a="1"/>
  <c r="F85" i="3" s="1"/>
  <c r="G85" i="3" s="1"/>
  <c r="H85" i="3" a="1"/>
  <c r="H85" i="3" s="1"/>
  <c r="I85" i="3" s="1"/>
  <c r="J85" i="3" a="1"/>
  <c r="J85" i="3" s="1"/>
  <c r="K85" i="3" s="1"/>
  <c r="L85" i="3" a="1"/>
  <c r="L85" i="3" s="1"/>
  <c r="M85" i="3" s="1"/>
  <c r="N85" i="3" a="1"/>
  <c r="N85" i="3" s="1"/>
  <c r="O85" i="3" s="1"/>
  <c r="P85" i="3" a="1"/>
  <c r="P85" i="3" s="1"/>
  <c r="Q85" i="3" s="1"/>
  <c r="R85" i="3" a="1"/>
  <c r="R85" i="3" s="1"/>
  <c r="S85" i="3" s="1"/>
  <c r="T85" i="3" a="1"/>
  <c r="T85" i="3" s="1"/>
  <c r="U85" i="3" s="1"/>
  <c r="V85" i="3" a="1"/>
  <c r="V85" i="3" s="1"/>
  <c r="W85" i="3" s="1"/>
  <c r="X85" i="3" a="1"/>
  <c r="X85" i="3" s="1"/>
  <c r="Y85" i="3" s="1"/>
  <c r="Z85" i="3" a="1"/>
  <c r="Z85" i="3" s="1"/>
  <c r="AA85" i="3" s="1"/>
  <c r="AB85" i="3" a="1"/>
  <c r="AB85" i="3" s="1"/>
  <c r="AC85" i="3" s="1"/>
  <c r="AD85" i="3" a="1"/>
  <c r="AD85" i="3" s="1"/>
  <c r="AE85" i="3" s="1"/>
  <c r="AF85" i="3" a="1"/>
  <c r="AF85" i="3" s="1"/>
  <c r="AG85" i="3" s="1"/>
  <c r="AH85" i="3" a="1"/>
  <c r="AH85" i="3" s="1"/>
  <c r="AI85" i="3" s="1"/>
  <c r="AJ85" i="3" a="1"/>
  <c r="AJ85" i="3" s="1"/>
  <c r="AK85" i="3" s="1"/>
  <c r="AL85" i="3" a="1"/>
  <c r="AL85" i="3" s="1"/>
  <c r="AM85" i="3" s="1"/>
  <c r="AN85" i="3" a="1"/>
  <c r="AN85" i="3" s="1"/>
  <c r="AO85" i="3" s="1"/>
  <c r="AP85" i="3" a="1"/>
  <c r="AP85" i="3" s="1"/>
  <c r="AQ85" i="3" s="1"/>
  <c r="F86" i="3" a="1"/>
  <c r="F86" i="3" s="1"/>
  <c r="G86" i="3" s="1"/>
  <c r="H86" i="3" a="1"/>
  <c r="H86" i="3" s="1"/>
  <c r="I86" i="3" s="1"/>
  <c r="J86" i="3" a="1"/>
  <c r="J86" i="3" s="1"/>
  <c r="K86" i="3" s="1"/>
  <c r="L86" i="3" a="1"/>
  <c r="L86" i="3" s="1"/>
  <c r="M86" i="3" s="1"/>
  <c r="N86" i="3" a="1"/>
  <c r="N86" i="3" s="1"/>
  <c r="O86" i="3" s="1"/>
  <c r="P86" i="3" a="1"/>
  <c r="P86" i="3" s="1"/>
  <c r="Q86" i="3" s="1"/>
  <c r="R86" i="3" a="1"/>
  <c r="R86" i="3" s="1"/>
  <c r="S86" i="3" s="1"/>
  <c r="T86" i="3" a="1"/>
  <c r="T86" i="3" s="1"/>
  <c r="U86" i="3" s="1"/>
  <c r="V86" i="3" a="1"/>
  <c r="V86" i="3" s="1"/>
  <c r="W86" i="3" s="1"/>
  <c r="X86" i="3" a="1"/>
  <c r="X86" i="3" s="1"/>
  <c r="Y86" i="3" s="1"/>
  <c r="Z86" i="3" a="1"/>
  <c r="Z86" i="3" s="1"/>
  <c r="AA86" i="3" s="1"/>
  <c r="AB86" i="3" a="1"/>
  <c r="AB86" i="3" s="1"/>
  <c r="AC86" i="3" s="1"/>
  <c r="AD86" i="3" a="1"/>
  <c r="AD86" i="3" s="1"/>
  <c r="AE86" i="3" s="1"/>
  <c r="AF86" i="3" a="1"/>
  <c r="AF86" i="3" s="1"/>
  <c r="AG86" i="3" s="1"/>
  <c r="AH86" i="3" a="1"/>
  <c r="AH86" i="3" s="1"/>
  <c r="AI86" i="3" s="1"/>
  <c r="AJ86" i="3" a="1"/>
  <c r="AJ86" i="3" s="1"/>
  <c r="AK86" i="3" s="1"/>
  <c r="AL86" i="3" a="1"/>
  <c r="AL86" i="3" s="1"/>
  <c r="AM86" i="3" s="1"/>
  <c r="AN86" i="3" a="1"/>
  <c r="AN86" i="3" s="1"/>
  <c r="AO86" i="3" s="1"/>
  <c r="AP86" i="3" a="1"/>
  <c r="AP86" i="3" s="1"/>
  <c r="AQ86" i="3" s="1"/>
  <c r="F87" i="3" a="1"/>
  <c r="F87" i="3" s="1"/>
  <c r="G87" i="3" s="1"/>
  <c r="H87" i="3" a="1"/>
  <c r="H87" i="3" s="1"/>
  <c r="I87" i="3" s="1"/>
  <c r="J87" i="3" a="1"/>
  <c r="J87" i="3" s="1"/>
  <c r="K87" i="3" s="1"/>
  <c r="L87" i="3" a="1"/>
  <c r="L87" i="3" s="1"/>
  <c r="M87" i="3" s="1"/>
  <c r="N87" i="3" a="1"/>
  <c r="N87" i="3" s="1"/>
  <c r="O87" i="3" s="1"/>
  <c r="P87" i="3" a="1"/>
  <c r="P87" i="3" s="1"/>
  <c r="Q87" i="3" s="1"/>
  <c r="R87" i="3" a="1"/>
  <c r="R87" i="3" s="1"/>
  <c r="S87" i="3" s="1"/>
  <c r="T87" i="3" a="1"/>
  <c r="T87" i="3" s="1"/>
  <c r="U87" i="3" s="1"/>
  <c r="V87" i="3" a="1"/>
  <c r="V87" i="3" s="1"/>
  <c r="W87" i="3" s="1"/>
  <c r="X87" i="3" a="1"/>
  <c r="X87" i="3" s="1"/>
  <c r="Y87" i="3" s="1"/>
  <c r="Z87" i="3" a="1"/>
  <c r="Z87" i="3" s="1"/>
  <c r="AA87" i="3" s="1"/>
  <c r="AB87" i="3" a="1"/>
  <c r="AB87" i="3" s="1"/>
  <c r="AC87" i="3" s="1"/>
  <c r="AD87" i="3" a="1"/>
  <c r="AD87" i="3" s="1"/>
  <c r="AE87" i="3" s="1"/>
  <c r="AF87" i="3" a="1"/>
  <c r="AF87" i="3" s="1"/>
  <c r="AG87" i="3" s="1"/>
  <c r="AH87" i="3" a="1"/>
  <c r="AH87" i="3" s="1"/>
  <c r="AI87" i="3" s="1"/>
  <c r="AJ87" i="3" a="1"/>
  <c r="AJ87" i="3" s="1"/>
  <c r="AK87" i="3" s="1"/>
  <c r="AL87" i="3" a="1"/>
  <c r="AL87" i="3" s="1"/>
  <c r="AM87" i="3" s="1"/>
  <c r="AN87" i="3" a="1"/>
  <c r="AN87" i="3" s="1"/>
  <c r="AO87" i="3" s="1"/>
  <c r="AP87" i="3" a="1"/>
  <c r="AP87" i="3" s="1"/>
  <c r="AQ87" i="3" s="1"/>
  <c r="F88" i="3" a="1"/>
  <c r="F88" i="3" s="1"/>
  <c r="G88" i="3" s="1"/>
  <c r="H88" i="3" a="1"/>
  <c r="H88" i="3" s="1"/>
  <c r="I88" i="3" s="1"/>
  <c r="J88" i="3" a="1"/>
  <c r="J88" i="3" s="1"/>
  <c r="K88" i="3" s="1"/>
  <c r="L88" i="3" a="1"/>
  <c r="L88" i="3" s="1"/>
  <c r="M88" i="3" s="1"/>
  <c r="N88" i="3" a="1"/>
  <c r="N88" i="3" s="1"/>
  <c r="O88" i="3" s="1"/>
  <c r="P88" i="3" a="1"/>
  <c r="P88" i="3" s="1"/>
  <c r="Q88" i="3" s="1"/>
  <c r="R88" i="3" a="1"/>
  <c r="R88" i="3" s="1"/>
  <c r="S88" i="3" s="1"/>
  <c r="T88" i="3" a="1"/>
  <c r="T88" i="3" s="1"/>
  <c r="U88" i="3" s="1"/>
  <c r="V88" i="3" a="1"/>
  <c r="V88" i="3" s="1"/>
  <c r="W88" i="3" s="1"/>
  <c r="X88" i="3" a="1"/>
  <c r="X88" i="3" s="1"/>
  <c r="Y88" i="3" s="1"/>
  <c r="Z88" i="3" a="1"/>
  <c r="Z88" i="3" s="1"/>
  <c r="AA88" i="3" s="1"/>
  <c r="AB88" i="3" a="1"/>
  <c r="AB88" i="3" s="1"/>
  <c r="AC88" i="3" s="1"/>
  <c r="AD88" i="3" a="1"/>
  <c r="AD88" i="3" s="1"/>
  <c r="AE88" i="3" s="1"/>
  <c r="AF88" i="3" a="1"/>
  <c r="AF88" i="3" s="1"/>
  <c r="AG88" i="3" s="1"/>
  <c r="AH88" i="3" a="1"/>
  <c r="AH88" i="3" s="1"/>
  <c r="AI88" i="3" s="1"/>
  <c r="AJ88" i="3" a="1"/>
  <c r="AJ88" i="3" s="1"/>
  <c r="AK88" i="3" s="1"/>
  <c r="AL88" i="3" a="1"/>
  <c r="AL88" i="3" s="1"/>
  <c r="AM88" i="3" s="1"/>
  <c r="AN88" i="3" a="1"/>
  <c r="AN88" i="3" s="1"/>
  <c r="AO88" i="3" s="1"/>
  <c r="AP88" i="3" a="1"/>
  <c r="AP88" i="3" s="1"/>
  <c r="AQ88" i="3" s="1"/>
  <c r="F89" i="3" a="1"/>
  <c r="F89" i="3" s="1"/>
  <c r="G89" i="3" s="1"/>
  <c r="H89" i="3" a="1"/>
  <c r="H89" i="3" s="1"/>
  <c r="I89" i="3" s="1"/>
  <c r="J89" i="3" a="1"/>
  <c r="J89" i="3" s="1"/>
  <c r="K89" i="3" s="1"/>
  <c r="L89" i="3" a="1"/>
  <c r="L89" i="3" s="1"/>
  <c r="M89" i="3" s="1"/>
  <c r="N89" i="3" a="1"/>
  <c r="N89" i="3" s="1"/>
  <c r="O89" i="3" s="1"/>
  <c r="P89" i="3" a="1"/>
  <c r="P89" i="3" s="1"/>
  <c r="Q89" i="3" s="1"/>
  <c r="R89" i="3" a="1"/>
  <c r="R89" i="3" s="1"/>
  <c r="S89" i="3" s="1"/>
  <c r="T89" i="3" a="1"/>
  <c r="T89" i="3" s="1"/>
  <c r="U89" i="3" s="1"/>
  <c r="V89" i="3" a="1"/>
  <c r="V89" i="3" s="1"/>
  <c r="W89" i="3" s="1"/>
  <c r="X89" i="3" a="1"/>
  <c r="X89" i="3" s="1"/>
  <c r="Y89" i="3" s="1"/>
  <c r="Z89" i="3" a="1"/>
  <c r="Z89" i="3" s="1"/>
  <c r="AA89" i="3" s="1"/>
  <c r="AB89" i="3" a="1"/>
  <c r="AB89" i="3" s="1"/>
  <c r="AC89" i="3" s="1"/>
  <c r="AD89" i="3" a="1"/>
  <c r="AD89" i="3" s="1"/>
  <c r="AE89" i="3" s="1"/>
  <c r="AF89" i="3" a="1"/>
  <c r="AF89" i="3" s="1"/>
  <c r="AG89" i="3" s="1"/>
  <c r="AH89" i="3" a="1"/>
  <c r="AH89" i="3" s="1"/>
  <c r="AI89" i="3" s="1"/>
  <c r="AJ89" i="3" a="1"/>
  <c r="AJ89" i="3" s="1"/>
  <c r="AK89" i="3" s="1"/>
  <c r="AL89" i="3" a="1"/>
  <c r="AL89" i="3" s="1"/>
  <c r="AM89" i="3" s="1"/>
  <c r="AN89" i="3" a="1"/>
  <c r="AN89" i="3" s="1"/>
  <c r="AO89" i="3" s="1"/>
  <c r="AP89" i="3" a="1"/>
  <c r="AP89" i="3" s="1"/>
  <c r="AQ89" i="3" s="1"/>
  <c r="F90" i="3" a="1"/>
  <c r="F90" i="3" s="1"/>
  <c r="G90" i="3" s="1"/>
  <c r="H90" i="3" a="1"/>
  <c r="H90" i="3" s="1"/>
  <c r="I90" i="3" s="1"/>
  <c r="J90" i="3" a="1"/>
  <c r="J90" i="3" s="1"/>
  <c r="K90" i="3" s="1"/>
  <c r="L90" i="3" a="1"/>
  <c r="L90" i="3" s="1"/>
  <c r="M90" i="3" s="1"/>
  <c r="N90" i="3" a="1"/>
  <c r="N90" i="3" s="1"/>
  <c r="O90" i="3" s="1"/>
  <c r="P90" i="3" a="1"/>
  <c r="P90" i="3" s="1"/>
  <c r="Q90" i="3" s="1"/>
  <c r="R90" i="3" a="1"/>
  <c r="R90" i="3" s="1"/>
  <c r="S90" i="3" s="1"/>
  <c r="T90" i="3" a="1"/>
  <c r="T90" i="3" s="1"/>
  <c r="U90" i="3" s="1"/>
  <c r="V90" i="3" a="1"/>
  <c r="V90" i="3" s="1"/>
  <c r="W90" i="3" s="1"/>
  <c r="X90" i="3" a="1"/>
  <c r="X90" i="3" s="1"/>
  <c r="Y90" i="3" s="1"/>
  <c r="Z90" i="3" a="1"/>
  <c r="Z90" i="3" s="1"/>
  <c r="AA90" i="3" s="1"/>
  <c r="AB90" i="3" a="1"/>
  <c r="AB90" i="3" s="1"/>
  <c r="AC90" i="3" s="1"/>
  <c r="AD90" i="3" a="1"/>
  <c r="AD90" i="3" s="1"/>
  <c r="AE90" i="3" s="1"/>
  <c r="AF90" i="3" a="1"/>
  <c r="AF90" i="3" s="1"/>
  <c r="AG90" i="3" s="1"/>
  <c r="AH90" i="3" a="1"/>
  <c r="AH90" i="3" s="1"/>
  <c r="AI90" i="3" s="1"/>
  <c r="AJ90" i="3" a="1"/>
  <c r="AJ90" i="3" s="1"/>
  <c r="AK90" i="3" s="1"/>
  <c r="AL90" i="3" a="1"/>
  <c r="AL90" i="3" s="1"/>
  <c r="AM90" i="3" s="1"/>
  <c r="AN90" i="3" a="1"/>
  <c r="AN90" i="3" s="1"/>
  <c r="AO90" i="3" s="1"/>
  <c r="AP90" i="3" a="1"/>
  <c r="AP90" i="3" s="1"/>
  <c r="AQ90" i="3" s="1"/>
  <c r="F91" i="3" a="1"/>
  <c r="F91" i="3" s="1"/>
  <c r="G91" i="3" s="1"/>
  <c r="H91" i="3" a="1"/>
  <c r="H91" i="3" s="1"/>
  <c r="I91" i="3" s="1"/>
  <c r="J91" i="3" a="1"/>
  <c r="J91" i="3" s="1"/>
  <c r="K91" i="3" s="1"/>
  <c r="L91" i="3" a="1"/>
  <c r="L91" i="3" s="1"/>
  <c r="M91" i="3" s="1"/>
  <c r="N91" i="3" a="1"/>
  <c r="N91" i="3" s="1"/>
  <c r="O91" i="3" s="1"/>
  <c r="P91" i="3" a="1"/>
  <c r="P91" i="3" s="1"/>
  <c r="Q91" i="3" s="1"/>
  <c r="R91" i="3" a="1"/>
  <c r="R91" i="3" s="1"/>
  <c r="S91" i="3" s="1"/>
  <c r="T91" i="3" a="1"/>
  <c r="T91" i="3" s="1"/>
  <c r="U91" i="3" s="1"/>
  <c r="V91" i="3" a="1"/>
  <c r="V91" i="3" s="1"/>
  <c r="W91" i="3" s="1"/>
  <c r="X91" i="3" a="1"/>
  <c r="X91" i="3" s="1"/>
  <c r="Y91" i="3" s="1"/>
  <c r="Z91" i="3" a="1"/>
  <c r="Z91" i="3" s="1"/>
  <c r="AA91" i="3" s="1"/>
  <c r="AB91" i="3" a="1"/>
  <c r="AB91" i="3" s="1"/>
  <c r="AC91" i="3" s="1"/>
  <c r="AD91" i="3" a="1"/>
  <c r="AD91" i="3" s="1"/>
  <c r="AE91" i="3" s="1"/>
  <c r="AF91" i="3" a="1"/>
  <c r="AF91" i="3" s="1"/>
  <c r="AG91" i="3" s="1"/>
  <c r="AH91" i="3" a="1"/>
  <c r="AH91" i="3" s="1"/>
  <c r="AI91" i="3" s="1"/>
  <c r="AJ91" i="3" a="1"/>
  <c r="AJ91" i="3" s="1"/>
  <c r="AK91" i="3" s="1"/>
  <c r="AL91" i="3" a="1"/>
  <c r="AL91" i="3" s="1"/>
  <c r="AM91" i="3" s="1"/>
  <c r="AN91" i="3" a="1"/>
  <c r="AN91" i="3" s="1"/>
  <c r="AO91" i="3" s="1"/>
  <c r="AP91" i="3" a="1"/>
  <c r="AP91" i="3" s="1"/>
  <c r="AQ91" i="3" s="1"/>
  <c r="F92" i="3" a="1"/>
  <c r="F92" i="3" s="1"/>
  <c r="G92" i="3" s="1"/>
  <c r="H92" i="3" a="1"/>
  <c r="H92" i="3" s="1"/>
  <c r="I92" i="3" s="1"/>
  <c r="J92" i="3" a="1"/>
  <c r="J92" i="3" s="1"/>
  <c r="K92" i="3" s="1"/>
  <c r="L92" i="3" a="1"/>
  <c r="L92" i="3" s="1"/>
  <c r="M92" i="3" s="1"/>
  <c r="N92" i="3" a="1"/>
  <c r="N92" i="3" s="1"/>
  <c r="O92" i="3" s="1"/>
  <c r="P92" i="3" a="1"/>
  <c r="P92" i="3" s="1"/>
  <c r="Q92" i="3" s="1"/>
  <c r="R92" i="3" a="1"/>
  <c r="R92" i="3" s="1"/>
  <c r="S92" i="3" s="1"/>
  <c r="T92" i="3" a="1"/>
  <c r="T92" i="3" s="1"/>
  <c r="U92" i="3" s="1"/>
  <c r="V92" i="3" a="1"/>
  <c r="V92" i="3" s="1"/>
  <c r="W92" i="3" s="1"/>
  <c r="X92" i="3" a="1"/>
  <c r="X92" i="3" s="1"/>
  <c r="Y92" i="3" s="1"/>
  <c r="Z92" i="3" a="1"/>
  <c r="Z92" i="3" s="1"/>
  <c r="AA92" i="3" s="1"/>
  <c r="AB92" i="3" a="1"/>
  <c r="AB92" i="3" s="1"/>
  <c r="AC92" i="3" s="1"/>
  <c r="AD92" i="3" a="1"/>
  <c r="AD92" i="3" s="1"/>
  <c r="AE92" i="3" s="1"/>
  <c r="AF92" i="3" a="1"/>
  <c r="AF92" i="3" s="1"/>
  <c r="AG92" i="3" s="1"/>
  <c r="AH92" i="3" a="1"/>
  <c r="AH92" i="3" s="1"/>
  <c r="AI92" i="3" s="1"/>
  <c r="AJ92" i="3" a="1"/>
  <c r="AJ92" i="3" s="1"/>
  <c r="AK92" i="3" s="1"/>
  <c r="AL92" i="3" a="1"/>
  <c r="AL92" i="3" s="1"/>
  <c r="AM92" i="3" s="1"/>
  <c r="AN92" i="3" a="1"/>
  <c r="AN92" i="3" s="1"/>
  <c r="AO92" i="3" s="1"/>
  <c r="AP92" i="3" a="1"/>
  <c r="AP92" i="3" s="1"/>
  <c r="AQ92" i="3" s="1"/>
  <c r="F93" i="3" a="1"/>
  <c r="F93" i="3" s="1"/>
  <c r="G93" i="3" s="1"/>
  <c r="H93" i="3" a="1"/>
  <c r="H93" i="3" s="1"/>
  <c r="I93" i="3" s="1"/>
  <c r="J93" i="3" a="1"/>
  <c r="J93" i="3" s="1"/>
  <c r="K93" i="3" s="1"/>
  <c r="L93" i="3" a="1"/>
  <c r="L93" i="3" s="1"/>
  <c r="M93" i="3" s="1"/>
  <c r="N93" i="3" a="1"/>
  <c r="N93" i="3" s="1"/>
  <c r="O93" i="3" s="1"/>
  <c r="P93" i="3" a="1"/>
  <c r="P93" i="3" s="1"/>
  <c r="Q93" i="3" s="1"/>
  <c r="R93" i="3" a="1"/>
  <c r="R93" i="3" s="1"/>
  <c r="S93" i="3" s="1"/>
  <c r="T93" i="3" a="1"/>
  <c r="T93" i="3" s="1"/>
  <c r="U93" i="3" s="1"/>
  <c r="V93" i="3" a="1"/>
  <c r="V93" i="3" s="1"/>
  <c r="W93" i="3" s="1"/>
  <c r="X93" i="3" a="1"/>
  <c r="X93" i="3" s="1"/>
  <c r="Y93" i="3" s="1"/>
  <c r="Z93" i="3" a="1"/>
  <c r="Z93" i="3" s="1"/>
  <c r="AA93" i="3" s="1"/>
  <c r="AB93" i="3" a="1"/>
  <c r="AB93" i="3" s="1"/>
  <c r="AC93" i="3" s="1"/>
  <c r="AD93" i="3" a="1"/>
  <c r="AD93" i="3" s="1"/>
  <c r="AE93" i="3" s="1"/>
  <c r="AF93" i="3" a="1"/>
  <c r="AF93" i="3" s="1"/>
  <c r="AG93" i="3" s="1"/>
  <c r="AH93" i="3" a="1"/>
  <c r="AH93" i="3" s="1"/>
  <c r="AI93" i="3" s="1"/>
  <c r="AJ93" i="3" a="1"/>
  <c r="AJ93" i="3" s="1"/>
  <c r="AK93" i="3" s="1"/>
  <c r="AL93" i="3" a="1"/>
  <c r="AL93" i="3" s="1"/>
  <c r="AM93" i="3" s="1"/>
  <c r="AN93" i="3" a="1"/>
  <c r="AN93" i="3" s="1"/>
  <c r="AO93" i="3" s="1"/>
  <c r="AP93" i="3" a="1"/>
  <c r="AP93" i="3" s="1"/>
  <c r="AQ93" i="3" s="1"/>
  <c r="F94" i="3" a="1"/>
  <c r="F94" i="3" s="1"/>
  <c r="G94" i="3" s="1"/>
  <c r="H94" i="3" a="1"/>
  <c r="H94" i="3" s="1"/>
  <c r="I94" i="3" s="1"/>
  <c r="J94" i="3" a="1"/>
  <c r="J94" i="3" s="1"/>
  <c r="K94" i="3" s="1"/>
  <c r="L94" i="3" a="1"/>
  <c r="L94" i="3" s="1"/>
  <c r="M94" i="3" s="1"/>
  <c r="N94" i="3" a="1"/>
  <c r="N94" i="3" s="1"/>
  <c r="O94" i="3" s="1"/>
  <c r="P94" i="3" a="1"/>
  <c r="P94" i="3" s="1"/>
  <c r="Q94" i="3" s="1"/>
  <c r="R94" i="3" a="1"/>
  <c r="R94" i="3" s="1"/>
  <c r="S94" i="3" s="1"/>
  <c r="T94" i="3" a="1"/>
  <c r="T94" i="3" s="1"/>
  <c r="U94" i="3" s="1"/>
  <c r="V94" i="3" a="1"/>
  <c r="V94" i="3" s="1"/>
  <c r="W94" i="3" s="1"/>
  <c r="X94" i="3" a="1"/>
  <c r="X94" i="3" s="1"/>
  <c r="Y94" i="3" s="1"/>
  <c r="Z94" i="3" a="1"/>
  <c r="Z94" i="3" s="1"/>
  <c r="AA94" i="3" s="1"/>
  <c r="AB94" i="3" a="1"/>
  <c r="AB94" i="3" s="1"/>
  <c r="AC94" i="3" s="1"/>
  <c r="AD94" i="3" a="1"/>
  <c r="AD94" i="3" s="1"/>
  <c r="AE94" i="3" s="1"/>
  <c r="AF94" i="3" a="1"/>
  <c r="AF94" i="3" s="1"/>
  <c r="AG94" i="3" s="1"/>
  <c r="AH94" i="3" a="1"/>
  <c r="AH94" i="3" s="1"/>
  <c r="AI94" i="3" s="1"/>
  <c r="AJ94" i="3" a="1"/>
  <c r="AJ94" i="3" s="1"/>
  <c r="AK94" i="3" s="1"/>
  <c r="AL94" i="3" a="1"/>
  <c r="AL94" i="3" s="1"/>
  <c r="AM94" i="3" s="1"/>
  <c r="AN94" i="3" a="1"/>
  <c r="AN94" i="3" s="1"/>
  <c r="AO94" i="3" s="1"/>
  <c r="AP94" i="3" a="1"/>
  <c r="AP94" i="3" s="1"/>
  <c r="AQ94" i="3" s="1"/>
  <c r="F95" i="3" a="1"/>
  <c r="F95" i="3" s="1"/>
  <c r="G95" i="3" s="1"/>
  <c r="H95" i="3" a="1"/>
  <c r="H95" i="3" s="1"/>
  <c r="I95" i="3" s="1"/>
  <c r="J95" i="3" a="1"/>
  <c r="J95" i="3" s="1"/>
  <c r="K95" i="3" s="1"/>
  <c r="L95" i="3" a="1"/>
  <c r="L95" i="3" s="1"/>
  <c r="M95" i="3" s="1"/>
  <c r="N95" i="3" a="1"/>
  <c r="N95" i="3" s="1"/>
  <c r="O95" i="3" s="1"/>
  <c r="P95" i="3" a="1"/>
  <c r="P95" i="3" s="1"/>
  <c r="Q95" i="3" s="1"/>
  <c r="R95" i="3" a="1"/>
  <c r="R95" i="3" s="1"/>
  <c r="S95" i="3" s="1"/>
  <c r="T95" i="3" a="1"/>
  <c r="T95" i="3" s="1"/>
  <c r="U95" i="3" s="1"/>
  <c r="V95" i="3" a="1"/>
  <c r="V95" i="3" s="1"/>
  <c r="W95" i="3" s="1"/>
  <c r="X95" i="3" a="1"/>
  <c r="X95" i="3" s="1"/>
  <c r="Y95" i="3" s="1"/>
  <c r="Z95" i="3" a="1"/>
  <c r="Z95" i="3" s="1"/>
  <c r="AA95" i="3" s="1"/>
  <c r="AB95" i="3" a="1"/>
  <c r="AB95" i="3" s="1"/>
  <c r="AC95" i="3" s="1"/>
  <c r="AD95" i="3" a="1"/>
  <c r="AD95" i="3" s="1"/>
  <c r="AE95" i="3" s="1"/>
  <c r="AF95" i="3" a="1"/>
  <c r="AF95" i="3" s="1"/>
  <c r="AG95" i="3" s="1"/>
  <c r="AH95" i="3" a="1"/>
  <c r="AH95" i="3" s="1"/>
  <c r="AI95" i="3" s="1"/>
  <c r="AJ95" i="3" a="1"/>
  <c r="AJ95" i="3" s="1"/>
  <c r="AK95" i="3" s="1"/>
  <c r="AL95" i="3" a="1"/>
  <c r="AL95" i="3" s="1"/>
  <c r="AM95" i="3" s="1"/>
  <c r="AN95" i="3" a="1"/>
  <c r="AN95" i="3" s="1"/>
  <c r="AO95" i="3" s="1"/>
  <c r="AP95" i="3" a="1"/>
  <c r="AP95" i="3" s="1"/>
  <c r="AQ95" i="3" s="1"/>
  <c r="F96" i="3" a="1"/>
  <c r="F96" i="3" s="1"/>
  <c r="G96" i="3" s="1"/>
  <c r="H96" i="3" a="1"/>
  <c r="H96" i="3" s="1"/>
  <c r="I96" i="3" s="1"/>
  <c r="J96" i="3" a="1"/>
  <c r="J96" i="3" s="1"/>
  <c r="K96" i="3" s="1"/>
  <c r="L96" i="3" a="1"/>
  <c r="L96" i="3" s="1"/>
  <c r="M96" i="3" s="1"/>
  <c r="N96" i="3" a="1"/>
  <c r="N96" i="3" s="1"/>
  <c r="O96" i="3" s="1"/>
  <c r="P96" i="3" a="1"/>
  <c r="P96" i="3" s="1"/>
  <c r="Q96" i="3" s="1"/>
  <c r="R96" i="3" a="1"/>
  <c r="R96" i="3" s="1"/>
  <c r="S96" i="3" s="1"/>
  <c r="T96" i="3" a="1"/>
  <c r="T96" i="3" s="1"/>
  <c r="U96" i="3" s="1"/>
  <c r="V96" i="3" a="1"/>
  <c r="V96" i="3" s="1"/>
  <c r="W96" i="3" s="1"/>
  <c r="X96" i="3" a="1"/>
  <c r="X96" i="3" s="1"/>
  <c r="Y96" i="3" s="1"/>
  <c r="Z96" i="3" a="1"/>
  <c r="Z96" i="3" s="1"/>
  <c r="AA96" i="3" s="1"/>
  <c r="AB96" i="3" a="1"/>
  <c r="AB96" i="3" s="1"/>
  <c r="AC96" i="3" s="1"/>
  <c r="AD96" i="3" a="1"/>
  <c r="AD96" i="3" s="1"/>
  <c r="AE96" i="3" s="1"/>
  <c r="AF96" i="3" a="1"/>
  <c r="AF96" i="3" s="1"/>
  <c r="AG96" i="3" s="1"/>
  <c r="AH96" i="3" a="1"/>
  <c r="AH96" i="3" s="1"/>
  <c r="AI96" i="3" s="1"/>
  <c r="AJ96" i="3" a="1"/>
  <c r="AJ96" i="3" s="1"/>
  <c r="AK96" i="3" s="1"/>
  <c r="AL96" i="3" a="1"/>
  <c r="AL96" i="3" s="1"/>
  <c r="AM96" i="3" s="1"/>
  <c r="AN96" i="3" a="1"/>
  <c r="AN96" i="3" s="1"/>
  <c r="AO96" i="3" s="1"/>
  <c r="AP96" i="3" a="1"/>
  <c r="AP96" i="3" s="1"/>
  <c r="AQ96" i="3" s="1"/>
  <c r="F97" i="3" a="1"/>
  <c r="F97" i="3" s="1"/>
  <c r="G97" i="3" s="1"/>
  <c r="H97" i="3" a="1"/>
  <c r="H97" i="3" s="1"/>
  <c r="I97" i="3" s="1"/>
  <c r="J97" i="3" a="1"/>
  <c r="J97" i="3" s="1"/>
  <c r="K97" i="3" s="1"/>
  <c r="L97" i="3" a="1"/>
  <c r="L97" i="3" s="1"/>
  <c r="M97" i="3" s="1"/>
  <c r="N97" i="3" a="1"/>
  <c r="N97" i="3" s="1"/>
  <c r="O97" i="3" s="1"/>
  <c r="P97" i="3" a="1"/>
  <c r="P97" i="3" s="1"/>
  <c r="Q97" i="3" s="1"/>
  <c r="R97" i="3" a="1"/>
  <c r="R97" i="3" s="1"/>
  <c r="S97" i="3" s="1"/>
  <c r="T97" i="3" a="1"/>
  <c r="T97" i="3" s="1"/>
  <c r="U97" i="3" s="1"/>
  <c r="V97" i="3" a="1"/>
  <c r="V97" i="3" s="1"/>
  <c r="W97" i="3" s="1"/>
  <c r="X97" i="3" a="1"/>
  <c r="X97" i="3" s="1"/>
  <c r="Y97" i="3" s="1"/>
  <c r="Z97" i="3" a="1"/>
  <c r="Z97" i="3" s="1"/>
  <c r="AA97" i="3" s="1"/>
  <c r="AB97" i="3" a="1"/>
  <c r="AB97" i="3" s="1"/>
  <c r="AC97" i="3" s="1"/>
  <c r="AD97" i="3" a="1"/>
  <c r="AD97" i="3" s="1"/>
  <c r="AE97" i="3" s="1"/>
  <c r="AF97" i="3" a="1"/>
  <c r="AF97" i="3" s="1"/>
  <c r="AG97" i="3" s="1"/>
  <c r="AH97" i="3" a="1"/>
  <c r="AH97" i="3" s="1"/>
  <c r="AI97" i="3" s="1"/>
  <c r="AJ97" i="3" a="1"/>
  <c r="AJ97" i="3" s="1"/>
  <c r="AK97" i="3" s="1"/>
  <c r="AL97" i="3" a="1"/>
  <c r="AL97" i="3" s="1"/>
  <c r="AM97" i="3" s="1"/>
  <c r="AN97" i="3" a="1"/>
  <c r="AN97" i="3" s="1"/>
  <c r="AO97" i="3" s="1"/>
  <c r="AP97" i="3" a="1"/>
  <c r="AP97" i="3" s="1"/>
  <c r="AQ97" i="3" s="1"/>
  <c r="F98" i="3" a="1"/>
  <c r="F98" i="3" s="1"/>
  <c r="G98" i="3" s="1"/>
  <c r="H98" i="3" a="1"/>
  <c r="H98" i="3" s="1"/>
  <c r="I98" i="3" s="1"/>
  <c r="J98" i="3" a="1"/>
  <c r="J98" i="3" s="1"/>
  <c r="K98" i="3" s="1"/>
  <c r="L98" i="3" a="1"/>
  <c r="L98" i="3" s="1"/>
  <c r="M98" i="3" s="1"/>
  <c r="N98" i="3" a="1"/>
  <c r="N98" i="3" s="1"/>
  <c r="O98" i="3" s="1"/>
  <c r="P98" i="3" a="1"/>
  <c r="P98" i="3" s="1"/>
  <c r="Q98" i="3" s="1"/>
  <c r="R98" i="3" a="1"/>
  <c r="R98" i="3" s="1"/>
  <c r="S98" i="3" s="1"/>
  <c r="T98" i="3" a="1"/>
  <c r="T98" i="3" s="1"/>
  <c r="U98" i="3" s="1"/>
  <c r="V98" i="3" a="1"/>
  <c r="V98" i="3" s="1"/>
  <c r="W98" i="3" s="1"/>
  <c r="X98" i="3" a="1"/>
  <c r="X98" i="3" s="1"/>
  <c r="Y98" i="3" s="1"/>
  <c r="Z98" i="3" a="1"/>
  <c r="Z98" i="3" s="1"/>
  <c r="AA98" i="3" s="1"/>
  <c r="AB98" i="3" a="1"/>
  <c r="AB98" i="3" s="1"/>
  <c r="AC98" i="3" s="1"/>
  <c r="AD98" i="3" a="1"/>
  <c r="AD98" i="3" s="1"/>
  <c r="AE98" i="3" s="1"/>
  <c r="AF98" i="3" a="1"/>
  <c r="AF98" i="3" s="1"/>
  <c r="AG98" i="3" s="1"/>
  <c r="AH98" i="3" a="1"/>
  <c r="AH98" i="3" s="1"/>
  <c r="AI98" i="3" s="1"/>
  <c r="AJ98" i="3" a="1"/>
  <c r="AJ98" i="3" s="1"/>
  <c r="AK98" i="3" s="1"/>
  <c r="AL98" i="3" a="1"/>
  <c r="AL98" i="3" s="1"/>
  <c r="AM98" i="3" s="1"/>
  <c r="AN98" i="3" a="1"/>
  <c r="AN98" i="3" s="1"/>
  <c r="AO98" i="3" s="1"/>
  <c r="AP98" i="3" a="1"/>
  <c r="AP98" i="3" s="1"/>
  <c r="AQ98" i="3" s="1"/>
  <c r="F99" i="3" a="1"/>
  <c r="F99" i="3" s="1"/>
  <c r="G99" i="3" s="1"/>
  <c r="H99" i="3" a="1"/>
  <c r="H99" i="3" s="1"/>
  <c r="I99" i="3" s="1"/>
  <c r="J99" i="3" a="1"/>
  <c r="J99" i="3" s="1"/>
  <c r="K99" i="3" s="1"/>
  <c r="L99" i="3" a="1"/>
  <c r="L99" i="3" s="1"/>
  <c r="M99" i="3" s="1"/>
  <c r="N99" i="3" a="1"/>
  <c r="N99" i="3" s="1"/>
  <c r="O99" i="3" s="1"/>
  <c r="P99" i="3" a="1"/>
  <c r="P99" i="3" s="1"/>
  <c r="Q99" i="3" s="1"/>
  <c r="R99" i="3" a="1"/>
  <c r="R99" i="3" s="1"/>
  <c r="S99" i="3" s="1"/>
  <c r="T99" i="3" a="1"/>
  <c r="T99" i="3" s="1"/>
  <c r="U99" i="3" s="1"/>
  <c r="V99" i="3" a="1"/>
  <c r="V99" i="3" s="1"/>
  <c r="W99" i="3" s="1"/>
  <c r="X99" i="3" a="1"/>
  <c r="X99" i="3" s="1"/>
  <c r="Y99" i="3" s="1"/>
  <c r="Z99" i="3" a="1"/>
  <c r="Z99" i="3" s="1"/>
  <c r="AA99" i="3" s="1"/>
  <c r="AB99" i="3" a="1"/>
  <c r="AB99" i="3" s="1"/>
  <c r="AC99" i="3" s="1"/>
  <c r="AD99" i="3" a="1"/>
  <c r="AD99" i="3" s="1"/>
  <c r="AE99" i="3" s="1"/>
  <c r="AF99" i="3" a="1"/>
  <c r="AF99" i="3" s="1"/>
  <c r="AG99" i="3" s="1"/>
  <c r="AH99" i="3" a="1"/>
  <c r="AH99" i="3" s="1"/>
  <c r="AI99" i="3" s="1"/>
  <c r="AJ99" i="3" a="1"/>
  <c r="AJ99" i="3" s="1"/>
  <c r="AK99" i="3" s="1"/>
  <c r="AL99" i="3" a="1"/>
  <c r="AL99" i="3" s="1"/>
  <c r="AM99" i="3" s="1"/>
  <c r="AN99" i="3" a="1"/>
  <c r="AN99" i="3" s="1"/>
  <c r="AO99" i="3" s="1"/>
  <c r="AP99" i="3" a="1"/>
  <c r="AP99" i="3" s="1"/>
  <c r="AQ99" i="3" s="1"/>
  <c r="F100" i="3" a="1"/>
  <c r="F100" i="3" s="1"/>
  <c r="G100" i="3" s="1"/>
  <c r="H100" i="3" a="1"/>
  <c r="H100" i="3" s="1"/>
  <c r="I100" i="3" s="1"/>
  <c r="J100" i="3" a="1"/>
  <c r="J100" i="3" s="1"/>
  <c r="K100" i="3" s="1"/>
  <c r="L100" i="3" a="1"/>
  <c r="L100" i="3" s="1"/>
  <c r="M100" i="3" s="1"/>
  <c r="N100" i="3" a="1"/>
  <c r="N100" i="3" s="1"/>
  <c r="O100" i="3" s="1"/>
  <c r="P100" i="3" a="1"/>
  <c r="P100" i="3" s="1"/>
  <c r="Q100" i="3" s="1"/>
  <c r="R100" i="3" a="1"/>
  <c r="R100" i="3" s="1"/>
  <c r="S100" i="3" s="1"/>
  <c r="T100" i="3" a="1"/>
  <c r="T100" i="3" s="1"/>
  <c r="U100" i="3" s="1"/>
  <c r="V100" i="3" a="1"/>
  <c r="V100" i="3" s="1"/>
  <c r="W100" i="3" s="1"/>
  <c r="X100" i="3" a="1"/>
  <c r="X100" i="3" s="1"/>
  <c r="Y100" i="3" s="1"/>
  <c r="Z100" i="3" a="1"/>
  <c r="Z100" i="3" s="1"/>
  <c r="AA100" i="3" s="1"/>
  <c r="AB100" i="3" a="1"/>
  <c r="AB100" i="3" s="1"/>
  <c r="AC100" i="3" s="1"/>
  <c r="AD100" i="3" a="1"/>
  <c r="AD100" i="3" s="1"/>
  <c r="AE100" i="3" s="1"/>
  <c r="AF100" i="3" a="1"/>
  <c r="AF100" i="3" s="1"/>
  <c r="AG100" i="3" s="1"/>
  <c r="AH100" i="3" a="1"/>
  <c r="AH100" i="3" s="1"/>
  <c r="AI100" i="3" s="1"/>
  <c r="AJ100" i="3" a="1"/>
  <c r="AJ100" i="3" s="1"/>
  <c r="AK100" i="3" s="1"/>
  <c r="AL100" i="3" a="1"/>
  <c r="AL100" i="3" s="1"/>
  <c r="AM100" i="3" s="1"/>
  <c r="AN100" i="3" a="1"/>
  <c r="AN100" i="3" s="1"/>
  <c r="AO100" i="3" s="1"/>
  <c r="AP100" i="3" a="1"/>
  <c r="AP100" i="3" s="1"/>
  <c r="AQ100" i="3" s="1"/>
  <c r="F101" i="3" a="1"/>
  <c r="F101" i="3" s="1"/>
  <c r="G101" i="3" s="1"/>
  <c r="H101" i="3" a="1"/>
  <c r="H101" i="3" s="1"/>
  <c r="I101" i="3" s="1"/>
  <c r="J101" i="3" a="1"/>
  <c r="J101" i="3" s="1"/>
  <c r="K101" i="3" s="1"/>
  <c r="L101" i="3" a="1"/>
  <c r="L101" i="3" s="1"/>
  <c r="M101" i="3" s="1"/>
  <c r="N101" i="3" a="1"/>
  <c r="N101" i="3" s="1"/>
  <c r="O101" i="3" s="1"/>
  <c r="P101" i="3" a="1"/>
  <c r="P101" i="3" s="1"/>
  <c r="Q101" i="3" s="1"/>
  <c r="R101" i="3" a="1"/>
  <c r="R101" i="3" s="1"/>
  <c r="S101" i="3" s="1"/>
  <c r="T101" i="3" a="1"/>
  <c r="T101" i="3" s="1"/>
  <c r="U101" i="3" s="1"/>
  <c r="V101" i="3" a="1"/>
  <c r="V101" i="3" s="1"/>
  <c r="W101" i="3" s="1"/>
  <c r="X101" i="3" a="1"/>
  <c r="X101" i="3" s="1"/>
  <c r="Y101" i="3" s="1"/>
  <c r="Z101" i="3" a="1"/>
  <c r="Z101" i="3" s="1"/>
  <c r="AA101" i="3" s="1"/>
  <c r="AB101" i="3" a="1"/>
  <c r="AB101" i="3" s="1"/>
  <c r="AC101" i="3" s="1"/>
  <c r="AD101" i="3" a="1"/>
  <c r="AD101" i="3" s="1"/>
  <c r="AE101" i="3" s="1"/>
  <c r="AF101" i="3" a="1"/>
  <c r="AF101" i="3" s="1"/>
  <c r="AG101" i="3" s="1"/>
  <c r="AH101" i="3" a="1"/>
  <c r="AH101" i="3" s="1"/>
  <c r="AI101" i="3" s="1"/>
  <c r="AJ101" i="3" a="1"/>
  <c r="AJ101" i="3" s="1"/>
  <c r="AK101" i="3" s="1"/>
  <c r="AL101" i="3" a="1"/>
  <c r="AL101" i="3" s="1"/>
  <c r="AM101" i="3" s="1"/>
  <c r="AN101" i="3" a="1"/>
  <c r="AN101" i="3" s="1"/>
  <c r="AO101" i="3" s="1"/>
  <c r="AP101" i="3" a="1"/>
  <c r="AP101" i="3" s="1"/>
  <c r="AQ101" i="3" s="1"/>
  <c r="B51" i="1"/>
  <c r="B49" i="1"/>
  <c r="B48" i="1"/>
  <c r="B47" i="1"/>
  <c r="I42" i="1"/>
  <c r="I41" i="1"/>
  <c r="I40" i="1"/>
  <c r="B12" i="1" l="1"/>
  <c r="I5" i="1"/>
  <c r="I4" i="1"/>
  <c r="I3" i="1"/>
  <c r="H17" i="1"/>
  <c r="B18" i="1"/>
  <c r="B17" i="1"/>
  <c r="H68" i="1"/>
  <c r="H66" i="1"/>
  <c r="H64" i="1"/>
  <c r="H62" i="1"/>
  <c r="H60" i="1"/>
  <c r="H58" i="1"/>
  <c r="H56" i="1"/>
  <c r="H54" i="1"/>
  <c r="H35" i="1"/>
  <c r="H33" i="1"/>
  <c r="H31" i="1"/>
  <c r="H29" i="1"/>
  <c r="H27" i="1"/>
  <c r="H25" i="1"/>
  <c r="H23" i="1"/>
  <c r="H21" i="1"/>
  <c r="H19" i="1"/>
  <c r="F68" i="1"/>
  <c r="F66" i="1"/>
  <c r="F64" i="1"/>
  <c r="F62" i="1"/>
  <c r="F60" i="1"/>
  <c r="F58" i="1"/>
  <c r="B11" i="1"/>
  <c r="B10" i="1"/>
  <c r="C76" i="1" s="1"/>
  <c r="F56" i="1"/>
  <c r="F54" i="1"/>
  <c r="F35" i="1"/>
  <c r="F33" i="1"/>
  <c r="F31" i="1"/>
  <c r="F29" i="1"/>
  <c r="F27" i="1"/>
  <c r="F25" i="1"/>
  <c r="F23" i="1"/>
  <c r="F21" i="1"/>
  <c r="F19" i="1"/>
  <c r="F17" i="1"/>
  <c r="B14" i="1"/>
  <c r="AP2" i="3" a="1"/>
  <c r="AP2" i="3" s="1"/>
  <c r="AQ2" i="3" s="1"/>
  <c r="AN2" i="3" a="1"/>
  <c r="AN2" i="3" s="1"/>
  <c r="AO2" i="3" s="1"/>
  <c r="AL2" i="3" a="1"/>
  <c r="AL2" i="3" s="1"/>
  <c r="AM2" i="3" s="1"/>
  <c r="AH2" i="3" a="1"/>
  <c r="AH2" i="3" s="1"/>
  <c r="AI2" i="3" s="1"/>
  <c r="AF2" i="3" a="1"/>
  <c r="AF2" i="3" s="1"/>
  <c r="AG2" i="3" s="1"/>
  <c r="AD2" i="3" a="1"/>
  <c r="AD2" i="3" s="1"/>
  <c r="AE2" i="3" s="1"/>
  <c r="AB2" i="3" a="1"/>
  <c r="AB2" i="3" s="1"/>
  <c r="AC2" i="3" s="1"/>
  <c r="Z2" i="3" a="1"/>
  <c r="Z2" i="3" s="1"/>
  <c r="AA2" i="3" s="1"/>
  <c r="X2" i="3" a="1"/>
  <c r="X2" i="3" s="1"/>
  <c r="Y2" i="3" s="1"/>
  <c r="V2" i="3" a="1"/>
  <c r="V2" i="3" s="1"/>
  <c r="W2" i="3" s="1"/>
  <c r="T2" i="3" a="1"/>
  <c r="T2" i="3" s="1"/>
  <c r="U2" i="3" s="1"/>
  <c r="R2" i="3" a="1"/>
  <c r="R2" i="3" s="1"/>
  <c r="S2" i="3" s="1"/>
  <c r="P2" i="3" a="1"/>
  <c r="P2" i="3" s="1"/>
  <c r="Q2" i="3" s="1"/>
  <c r="N2" i="3" a="1"/>
  <c r="N2" i="3" s="1"/>
  <c r="O2" i="3" s="1"/>
  <c r="L2" i="3" a="1"/>
  <c r="L2" i="3" s="1"/>
  <c r="M2" i="3" s="1"/>
  <c r="J2" i="3" a="1"/>
  <c r="J2" i="3" s="1"/>
  <c r="K2" i="3" s="1"/>
  <c r="H2" i="3" a="1"/>
  <c r="H2" i="3" s="1"/>
  <c r="I2" i="3" s="1"/>
  <c r="F2" i="3" a="1"/>
  <c r="F2" i="3" s="1"/>
  <c r="G2" i="3" s="1"/>
  <c r="AJ2" i="3" a="1"/>
  <c r="AJ2" i="3" s="1"/>
  <c r="AK2" i="3" s="1"/>
  <c r="B67" i="1" l="1"/>
  <c r="B20" i="1"/>
  <c r="B36" i="1"/>
  <c r="B22" i="1"/>
  <c r="B55" i="1"/>
  <c r="B59" i="1"/>
  <c r="B30" i="1"/>
  <c r="B57" i="1"/>
  <c r="B28" i="1"/>
  <c r="B63" i="1"/>
  <c r="B26" i="1"/>
  <c r="B32" i="1"/>
  <c r="B61" i="1"/>
  <c r="B69" i="1"/>
  <c r="B24" i="1"/>
  <c r="B34" i="1"/>
  <c r="B65" i="1"/>
  <c r="B68" i="1"/>
  <c r="B66" i="1"/>
  <c r="B64" i="1"/>
  <c r="B62" i="1"/>
  <c r="B60" i="1"/>
  <c r="B58" i="1"/>
  <c r="B56" i="1"/>
  <c r="B54" i="1"/>
  <c r="B35" i="1"/>
  <c r="B33" i="1"/>
  <c r="B31" i="1"/>
  <c r="B29" i="1"/>
  <c r="B27" i="1"/>
  <c r="B25" i="1"/>
  <c r="B23" i="1"/>
  <c r="B21" i="1"/>
  <c r="B19" i="1"/>
  <c r="I23" i="1"/>
  <c r="I56" i="1"/>
  <c r="I62" i="1"/>
  <c r="I68" i="1"/>
  <c r="I25" i="1"/>
  <c r="I58" i="1"/>
  <c r="I66" i="1"/>
  <c r="I64" i="1"/>
  <c r="I54" i="1"/>
  <c r="I60" i="1"/>
  <c r="I19" i="1"/>
  <c r="I35" i="1"/>
  <c r="I33" i="1"/>
  <c r="I31" i="1"/>
  <c r="I29" i="1"/>
  <c r="I27" i="1"/>
  <c r="I21" i="1"/>
  <c r="I17" i="1"/>
  <c r="I70" i="1" l="1"/>
  <c r="I71" i="1" s="1"/>
  <c r="B74" i="1" a="1"/>
  <c r="B7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<sst xmlns="http://schemas.openxmlformats.org/spreadsheetml/2006/main" count="517" uniqueCount="453">
  <si>
    <r>
      <rPr>
        <sz val="10"/>
        <color rgb="FF868597"/>
        <rFont val="Trebuchet MS"/>
        <family val="2"/>
      </rPr>
      <t>ORIGINAL FOR RECIPIENT</t>
    </r>
  </si>
  <si>
    <r>
      <rPr>
        <sz val="11"/>
        <rFont val="Tahoma"/>
        <family val="2"/>
      </rPr>
      <t>Items</t>
    </r>
  </si>
  <si>
    <r>
      <rPr>
        <sz val="11"/>
        <rFont val="Tahoma"/>
        <family val="2"/>
      </rPr>
      <t>Quantity</t>
    </r>
  </si>
  <si>
    <r>
      <rPr>
        <sz val="11"/>
        <rFont val="Tahoma"/>
        <family val="2"/>
      </rPr>
      <t>PRICE/ITEM (</t>
    </r>
    <r>
      <rPr>
        <sz val="9.5"/>
        <rFont val="Microsoft Sans Serif"/>
        <family val="2"/>
      </rPr>
      <t>₹</t>
    </r>
    <r>
      <rPr>
        <sz val="11"/>
        <rFont val="Tahoma"/>
        <family val="2"/>
      </rPr>
      <t>)</t>
    </r>
  </si>
  <si>
    <r>
      <rPr>
        <sz val="11"/>
        <rFont val="Tahoma"/>
        <family val="2"/>
      </rPr>
      <t>Total</t>
    </r>
  </si>
  <si>
    <r>
      <rPr>
        <sz val="9.5"/>
        <rFont val="Tahoma"/>
        <family val="2"/>
      </rPr>
      <t>-</t>
    </r>
  </si>
  <si>
    <r>
      <rPr>
        <sz val="8.5"/>
        <rFont val="Tahoma"/>
        <family val="2"/>
      </rPr>
      <t>Bank Details</t>
    </r>
  </si>
  <si>
    <r>
      <rPr>
        <sz val="8.5"/>
        <rFont val="Tahoma"/>
        <family val="2"/>
      </rPr>
      <t>Terms and Conditions</t>
    </r>
  </si>
  <si>
    <r>
      <rPr>
        <sz val="8.5"/>
        <rFont val="Tahoma"/>
        <family val="2"/>
      </rPr>
      <t>Account No:</t>
    </r>
  </si>
  <si>
    <r>
      <rPr>
        <sz val="8.5"/>
        <rFont val="Tahoma"/>
        <family val="2"/>
      </rPr>
      <t>Bank:</t>
    </r>
  </si>
  <si>
    <r>
      <rPr>
        <sz val="8.5"/>
        <rFont val="Tahoma"/>
        <family val="2"/>
      </rPr>
      <t>HDFC Bank ,BAWNGKAWN</t>
    </r>
  </si>
  <si>
    <t>SL.NO</t>
  </si>
  <si>
    <t>Buyer Name</t>
  </si>
  <si>
    <t xml:space="preserve"> Address</t>
  </si>
  <si>
    <t xml:space="preserve"> Item Name 1</t>
  </si>
  <si>
    <t xml:space="preserve"> Description 1</t>
  </si>
  <si>
    <t xml:space="preserve"> Item Name 2</t>
  </si>
  <si>
    <t xml:space="preserve"> Description 2</t>
  </si>
  <si>
    <t xml:space="preserve"> Item Name 3</t>
  </si>
  <si>
    <t xml:space="preserve"> Description 3</t>
  </si>
  <si>
    <t>123 MG Road, Bengaluru, Karnataka, 560001</t>
  </si>
  <si>
    <t>Smart Doorbell</t>
  </si>
  <si>
    <t>Wi-Fi-enabled doorbell with camera and intercom</t>
  </si>
  <si>
    <t>45 Park Street, Kolkata, West Bengal, 700016</t>
  </si>
  <si>
    <t>Robot Vacuum Cleaner</t>
  </si>
  <si>
    <t>Automated floor cleaning device</t>
  </si>
  <si>
    <t>78 Nehru Nagar, Pune, Maharashtra, 411001</t>
  </si>
  <si>
    <t>Smart Refrigerator</t>
  </si>
  <si>
    <t>Internet-connected fridge with touchscreen and smart controls</t>
  </si>
  <si>
    <t>Flat 4B, Sunrise Apartments, Delhi, 110034</t>
  </si>
  <si>
    <t>Smart Washing Machine</t>
  </si>
  <si>
    <t>Wi-Fi-enabled washer with remote control options</t>
  </si>
  <si>
    <t>56 Anna Salai, Chennai, Tamil Nadu, 600002</t>
  </si>
  <si>
    <t>Smart Microwave</t>
  </si>
  <si>
    <t>Microwave with voice or app control</t>
  </si>
  <si>
    <t>89 MG Marg, Jaipur, Rajasthan, 302001</t>
  </si>
  <si>
    <t>Air Cooler</t>
  </si>
  <si>
    <t>Evaporative cooling appliance for rooms</t>
  </si>
  <si>
    <t>12 Brigade Road, Bengaluru, Karnataka, 560025</t>
  </si>
  <si>
    <t>Room Heater</t>
  </si>
  <si>
    <t>Electric heater for indoor heating</t>
  </si>
  <si>
    <t>House No. 23, Sector 15, Noida, Uttar Pradesh, 201301</t>
  </si>
  <si>
    <t>Pedestal Fan</t>
  </si>
  <si>
    <t>Adjustable stand fan for personal cooling</t>
  </si>
  <si>
    <t>34 Marine Drive, Mumbai, Maharashtra, 400020</t>
  </si>
  <si>
    <t>Tower Fan</t>
  </si>
  <si>
    <t>Space-saving vertical fan</t>
  </si>
  <si>
    <t>101 Park Avenue, Lucknow, Uttar Pradesh, 226001</t>
  </si>
  <si>
    <t>Ceiling Light with Fan</t>
  </si>
  <si>
    <t>Dual-function decorative ceiling light with built-in fan</t>
  </si>
  <si>
    <t>7 Gandhi Street, Chennai, Tamil Nadu, 600028</t>
  </si>
  <si>
    <t>Smart Ceiling Light</t>
  </si>
  <si>
    <t>Wi-Fi-enabled, color-changing ceiling light</t>
  </si>
  <si>
    <t>22 Shivaji Nagar, Nashik, Maharashtra, 422005</t>
  </si>
  <si>
    <t>Portable Air Conditioner</t>
  </si>
  <si>
    <t>Compact AC unit for small spaces</t>
  </si>
  <si>
    <t>Flat 6A, Lotus Residency, Hyderabad, Telangana, 500081</t>
  </si>
  <si>
    <t>Electric Grill</t>
  </si>
  <si>
    <t>Indoor grill for meat and vegetables</t>
  </si>
  <si>
    <t>55 Ring Road, Bhopal, Madhya Pradesh, 462001</t>
  </si>
  <si>
    <t>Chimney Hood</t>
  </si>
  <si>
    <t>Kitchen exhaust for smoke and fumes</t>
  </si>
  <si>
    <t>9 Rajpath, Ahmedabad, Gujarat, 380015</t>
  </si>
  <si>
    <t>Ice Maker</t>
  </si>
  <si>
    <t>Machine that produces ice cubes automatically</t>
  </si>
  <si>
    <t>45 Mall Road, Dehradun, Uttarakhand, 248001</t>
  </si>
  <si>
    <t>Portable Induction Stove</t>
  </si>
  <si>
    <t>Lightweight induction stove for mobile cooking</t>
  </si>
  <si>
    <t>66 Civil Lines, Kanpur, Uttar Pradesh, 208001</t>
  </si>
  <si>
    <t>Smart Air Conditioner</t>
  </si>
  <si>
    <t>AC unit controllable via smartphone or voice</t>
  </si>
  <si>
    <t>88 Connaught Place, Delhi, 110001</t>
  </si>
  <si>
    <t>Air Humidifier with Light</t>
  </si>
  <si>
    <t>Adds moisture and includes night light feature</t>
  </si>
  <si>
    <t>House No. 101, Sector 22, Chandigarh, 160022</t>
  </si>
  <si>
    <t>Ultrasonic Humidifier</t>
  </si>
  <si>
    <t>Mist-based humidifier using ultrasonic vibrations</t>
  </si>
  <si>
    <t>21 Brigade Road, Bengaluru, Karnataka, 560001</t>
  </si>
  <si>
    <t>Smart Geyser</t>
  </si>
  <si>
    <t>Internet-connected water heater</t>
  </si>
  <si>
    <t>14 Race Course Road, Ranchi, Jharkhand, 834001</t>
  </si>
  <si>
    <t>Instant Coffee Machine</t>
  </si>
  <si>
    <t>Brews coffee quickly and easily</t>
  </si>
  <si>
    <t>37 Fort Street, Kolkata, West Bengal, 700001</t>
  </si>
  <si>
    <t>Espresso Machine</t>
  </si>
  <si>
    <t>Makes espresso coffee drinks</t>
  </si>
  <si>
    <t>15 MG Road, Kochi, Kerala, 682011</t>
  </si>
  <si>
    <t>Cold Press Juicer</t>
  </si>
  <si>
    <t>Slow juicer for better nutrient retention</t>
  </si>
  <si>
    <t>92 Residency Road, Mysore, Karnataka, 570001</t>
  </si>
  <si>
    <t>LED Desk Lamp</t>
  </si>
  <si>
    <t>Adjustable desk lamp with LED lighting</t>
  </si>
  <si>
    <t>28 Shastri Nagar, Indore, Madhya Pradesh, 452001</t>
  </si>
  <si>
    <t>Motion Sensor Light</t>
  </si>
  <si>
    <t>Lights that activate on movement</t>
  </si>
  <si>
    <t>63 Station Road, Surat, Gujarat, 395003</t>
  </si>
  <si>
    <t>LED Strip with Remote</t>
  </si>
  <si>
    <t>Customizable LED lighting with remote control</t>
  </si>
  <si>
    <t>110 Nehru Street, Patna, Bihar, 800001</t>
  </si>
  <si>
    <t>UV Sterilizer Box</t>
  </si>
  <si>
    <t>Disinfects small items using UV light</t>
  </si>
  <si>
    <t>48 Gandhi Nagar, Jaipur, Rajasthan, 302015</t>
  </si>
  <si>
    <t>Water Dispenser</t>
  </si>
  <si>
    <t>Dispenses hot and cold water</t>
  </si>
  <si>
    <t>31 Park Street, Kolkata, West Bengal, 700017</t>
  </si>
  <si>
    <t>Electric Water Boiler</t>
  </si>
  <si>
    <t>Quickly boils large volumes of water</t>
  </si>
  <si>
    <t>Flat 2C, Pearl Apartments, Mumbai, Maharashtra, 400021</t>
  </si>
  <si>
    <t>Kitchen Timer</t>
  </si>
  <si>
    <t>Digital countdown timer for cooking</t>
  </si>
  <si>
    <t>5 MG Road, Pune, Maharashtra, 411002</t>
  </si>
  <si>
    <t>Egg Boiler</t>
  </si>
  <si>
    <t>Automatically boils eggs</t>
  </si>
  <si>
    <t>House No. 34, Sector 10, Gurugram, Haryana, 122001</t>
  </si>
  <si>
    <t>Electric Chopper</t>
  </si>
  <si>
    <t>Chops vegetables and fruits quickly</t>
  </si>
  <si>
    <t>77 Green Park, Delhi, 110016</t>
  </si>
  <si>
    <t>Meat Grinder</t>
  </si>
  <si>
    <t>Grinds meat for home cooking</t>
  </si>
  <si>
    <t>25 Whitefield, Bengaluru, Karnataka, 560066</t>
  </si>
  <si>
    <t>Waffle Maker</t>
  </si>
  <si>
    <t>Makes waffles at home</t>
  </si>
  <si>
    <t>19 Central Avenue, Chennai, Tamil Nadu, 600034</t>
  </si>
  <si>
    <t>Crepe Maker</t>
  </si>
  <si>
    <t>Electric pan for making crepes</t>
  </si>
  <si>
    <t>50 Gandhi Marg, Lucknow, Uttar Pradesh, 226002</t>
  </si>
  <si>
    <t>Pancake Maker</t>
  </si>
  <si>
    <t>Easy tool for making pancakes</t>
  </si>
  <si>
    <t>40 Civil Lines, Jabalpur, Madhya Pradesh, 482001</t>
  </si>
  <si>
    <t>Yogurt Maker</t>
  </si>
  <si>
    <t>Home appliance for making yogurt</t>
  </si>
  <si>
    <t>88 MG Road, Hyderabad, Telangana, 500032</t>
  </si>
  <si>
    <t>Bread Maker</t>
  </si>
  <si>
    <t>Automatically bakes fresh bread</t>
  </si>
  <si>
    <t>12 Ring Road, Bhopal, Madhya Pradesh, 462002</t>
  </si>
  <si>
    <t>Roti Maker</t>
  </si>
  <si>
    <t>Flattens and cooks Indian flatbreads</t>
  </si>
  <si>
    <t>101 Park Avenue, Ahmedabad, Gujarat, 380016</t>
  </si>
  <si>
    <t>Smart Weighing Scale</t>
  </si>
  <si>
    <t>Body scale with app sync and health data</t>
  </si>
  <si>
    <t>60 Marine Drive, Mumbai, Maharashtra, 400023</t>
  </si>
  <si>
    <t>Kitchen Weighing Scale</t>
  </si>
  <si>
    <t>Measures food portions accurately</t>
  </si>
  <si>
    <t>77 Connaught Place, Delhi, 110002</t>
  </si>
  <si>
    <t>Wall-Mounted Fan</t>
  </si>
  <si>
    <t>Space-saving fan for wall mounting</t>
  </si>
  <si>
    <t>29 Brigade Road, Bengaluru, Karnataka, 560002</t>
  </si>
  <si>
    <t>Electric Egg Beater</t>
  </si>
  <si>
    <t>Handheld electric whisk for baking</t>
  </si>
  <si>
    <t>36 Race Course Road, Ranchi, Jharkhand, 834002</t>
  </si>
  <si>
    <t>Milk Frother</t>
  </si>
  <si>
    <t>Froths milk for lattes and cappuccinos</t>
  </si>
  <si>
    <t>44 Fort Street, Kolkata, West Bengal, 700002</t>
  </si>
  <si>
    <t>Smart Switch</t>
  </si>
  <si>
    <t>Wi-Fi-enabled wall switch for remote operation</t>
  </si>
  <si>
    <t>14 MG Road, Kochi, Kerala, 682012</t>
  </si>
  <si>
    <t>Motion Detector</t>
  </si>
  <si>
    <t>Triggers alarm or light on motion detection</t>
  </si>
  <si>
    <t>88 Residency Road, Mysore, Karnataka, 570002</t>
  </si>
  <si>
    <t>Solar Garden Light</t>
  </si>
  <si>
    <t>Solar-powered outdoor lighting</t>
  </si>
  <si>
    <t>27 Shastri Nagar, Indore, Madhya Pradesh, 452002</t>
  </si>
  <si>
    <t>Indoor Thermometer</t>
  </si>
  <si>
    <t>Displays indoor temperature</t>
  </si>
  <si>
    <t>53 Station Road, Surat, Gujarat, 395004</t>
  </si>
  <si>
    <t>Hygrometer</t>
  </si>
  <si>
    <t>Measures indoor humidity levels</t>
  </si>
  <si>
    <t>115 Nehru Street, Patna, Bihar, 800002</t>
  </si>
  <si>
    <t>Smart Smoke Detector</t>
  </si>
  <si>
    <t>Smoke alarm with smart alerts</t>
  </si>
  <si>
    <t>49 Gandhi Nagar, Jaipur, Rajasthan, 302016</t>
  </si>
  <si>
    <t>Gas Leak Detector</t>
  </si>
  <si>
    <t>Detects gas leaks in the kitchen</t>
  </si>
  <si>
    <t>30 Park Street, Kolkata, West Bengal, 700018</t>
  </si>
  <si>
    <t>Digital Multimeter</t>
  </si>
  <si>
    <t>Measures voltage, current, resistance</t>
  </si>
  <si>
    <t>Flat 5D, Pearl Apartments, Mumbai, Maharashtra, 400022</t>
  </si>
  <si>
    <t>Extension Board with USB</t>
  </si>
  <si>
    <t>Power strip with USB charging ports</t>
  </si>
  <si>
    <t>7 MG Road, Pune, Maharashtra, 411003</t>
  </si>
  <si>
    <t>Cord Organizer Box</t>
  </si>
  <si>
    <t>Box to hide and manage power strips</t>
  </si>
  <si>
    <t>House No. 37, Sector 11, Gurugram, Haryana, 122002</t>
  </si>
  <si>
    <t>Automatic Hand Sanitizer</t>
  </si>
  <si>
    <t>Touchless sanitizer dispenser</t>
  </si>
  <si>
    <t>79 Green Park, Delhi, 110017</t>
  </si>
  <si>
    <t>Smart Mosquito Repeller</t>
  </si>
  <si>
    <t>USB-powered electronic insect repeller</t>
  </si>
  <si>
    <t>28 Whitefield, Bengaluru, Karnataka, 560067</t>
  </si>
  <si>
    <t>Mosquito Killer Lamp</t>
  </si>
  <si>
    <t>Electric trap for mosquitoes</t>
  </si>
  <si>
    <t>18 Central Avenue, Chennai, Tamil Nadu, 600035</t>
  </si>
  <si>
    <t>Plug-in Night Light</t>
  </si>
  <si>
    <t>Low-power night light for rooms</t>
  </si>
  <si>
    <t>53 Gandhi Marg, Lucknow, Uttar Pradesh, 226003</t>
  </si>
  <si>
    <t>Rechargeable Torch</t>
  </si>
  <si>
    <t>Flashlight that can be recharged</t>
  </si>
  <si>
    <t>45 Civil Lines, Jabalpur, Madhya Pradesh, 482002</t>
  </si>
  <si>
    <t>Emergency Solar Light</t>
  </si>
  <si>
    <t>Solar-powered backup light</t>
  </si>
  <si>
    <t>90 MG Road, Hyderabad, Telangana, 500033</t>
  </si>
  <si>
    <t>Smart Alarm Clock</t>
  </si>
  <si>
    <t>Alarm with smart features like weather, music, and lights</t>
  </si>
  <si>
    <t>14 Ring Road, Bhopal, Madhya Pradesh, 462003</t>
  </si>
  <si>
    <t>Desktop Air Purifier</t>
  </si>
  <si>
    <t>Compact purifier for desks</t>
  </si>
  <si>
    <t>103 Park Avenue, Ahmedabad, Gujarat, 380017</t>
  </si>
  <si>
    <t>Personal Neck Fan</t>
  </si>
  <si>
    <t>Wearable fan for hands-free cooling</t>
  </si>
  <si>
    <t>62 Marine Drive, Mumbai, Maharashtra, 400024</t>
  </si>
  <si>
    <t>Foldable Hair Dryer</t>
  </si>
  <si>
    <t>Compact, travel-friendly hair dryer</t>
  </si>
  <si>
    <t>80 Connaught Place, Delhi, 110003</t>
  </si>
  <si>
    <t>UV Toothbrush Sterilizer</t>
  </si>
  <si>
    <t>Disinfects toothbrush using UV light</t>
  </si>
  <si>
    <t>34 Brigade Road, Bengaluru, Karnataka, 560003</t>
  </si>
  <si>
    <t>Smart Toothbrush</t>
  </si>
  <si>
    <t>Electric brush with Bluetooth tracking</t>
  </si>
  <si>
    <t>39 Race Course Road, Ranchi, Jharkhand, 834003</t>
  </si>
  <si>
    <t>Heated Eyelash Curler</t>
  </si>
  <si>
    <t>Shapes eyelashes with gentle heat</t>
  </si>
  <si>
    <t>46 Fort Street, Kolkata, West Bengal, 700003</t>
  </si>
  <si>
    <t>Facial Steamer</t>
  </si>
  <si>
    <t>Opens pores for skincare routine</t>
  </si>
  <si>
    <t>15 MG Road, Kochi, Kerala, 682013</t>
  </si>
  <si>
    <t>Ultrasonic Skin Cleaner</t>
  </si>
  <si>
    <t>Deep cleans skin using ultrasonic waves</t>
  </si>
  <si>
    <t>90 Residency Road, Mysore, Karnataka, 570003</t>
  </si>
  <si>
    <t>Electric Nail File Kit</t>
  </si>
  <si>
    <t>For manicure and pedicure at home</t>
  </si>
  <si>
    <t>29 Shastri Nagar, Indore, Madhya Pradesh, 452003</t>
  </si>
  <si>
    <t>Callus Remover</t>
  </si>
  <si>
    <t>Removes dead skin from feet</t>
  </si>
  <si>
    <t>Hair Removal Epilator</t>
  </si>
  <si>
    <t>Plucks hair from root electrically</t>
  </si>
  <si>
    <t>Tracks physical activity and health data</t>
  </si>
  <si>
    <t>IPL Hair Removal Device</t>
  </si>
  <si>
    <t>At-home laser hair removal system</t>
  </si>
  <si>
    <t>Electric Facial Brush</t>
  </si>
  <si>
    <t>Cleansing brush for exfoliation</t>
  </si>
  <si>
    <t>Mini Fridge</t>
  </si>
  <si>
    <t>Compact refrigerator for beverages</t>
  </si>
  <si>
    <t>Car Air Purifier</t>
  </si>
  <si>
    <t>Filters air inside vehicles</t>
  </si>
  <si>
    <t>Smart Car Charger</t>
  </si>
  <si>
    <t>USB charger with smart protection features</t>
  </si>
  <si>
    <t>Dashcam Rear Camera</t>
  </si>
  <si>
    <t>Rear view recording for vehicles</t>
  </si>
  <si>
    <t>Smart Rearview Mirror</t>
  </si>
  <si>
    <t>Touchscreen mirror with GPS and camera</t>
  </si>
  <si>
    <t>Portable Car Heater</t>
  </si>
  <si>
    <t>12V heater for car interiors</t>
  </si>
  <si>
    <t>Inverter AC</t>
  </si>
  <si>
    <t>Energy-efficient air conditioner</t>
  </si>
  <si>
    <t>Smart Energy Monitor</t>
  </si>
  <si>
    <t>Tracks power consumption in real-time</t>
  </si>
  <si>
    <t>Portable Power Station</t>
  </si>
  <si>
    <t>Rechargeable power supply for outdoors</t>
  </si>
  <si>
    <t>Wi-Fi Range Extender</t>
  </si>
  <si>
    <t>Boosts home Wi-Fi signal</t>
  </si>
  <si>
    <t>Mesh Wi-Fi System</t>
  </si>
  <si>
    <t>Whole-home wireless coverage</t>
  </si>
  <si>
    <t>Smart IR Remote</t>
  </si>
  <si>
    <t>Controls appliances via smartphone</t>
  </si>
  <si>
    <t>Bluetooth Transmitter</t>
  </si>
  <si>
    <t>Sends audio to Bluetooth devices</t>
  </si>
  <si>
    <t>Mini Bluetooth Receiver</t>
  </si>
  <si>
    <t>Adds Bluetooth to non-Bluetooth devices</t>
  </si>
  <si>
    <t>Soundbar</t>
  </si>
  <si>
    <t>Compact speaker bar for TVs</t>
  </si>
  <si>
    <t>Subwoofer</t>
  </si>
  <si>
    <t>Deep bass audio speaker</t>
  </si>
  <si>
    <t>Car Subwoofer</t>
  </si>
  <si>
    <t>Audio upgrade for car music systems</t>
  </si>
  <si>
    <t>Bluetooth Alarm Clock</t>
  </si>
  <si>
    <t>Combines alarm with Bluetooth speaker</t>
  </si>
  <si>
    <t>TV Wall Mount</t>
  </si>
  <si>
    <t>Mounting bracket for flat TVs</t>
  </si>
  <si>
    <t>HDMI Switch</t>
  </si>
  <si>
    <t>Connects multiple HDMI devices</t>
  </si>
  <si>
    <t>HDMI Cable</t>
  </si>
  <si>
    <t>Transfers audio/video signals</t>
  </si>
  <si>
    <t>DisplayPort Cable</t>
  </si>
  <si>
    <t>High-resolution monitor cable</t>
  </si>
  <si>
    <t>USB-C Docking Station</t>
  </si>
  <si>
    <t>Expands ports for laptops</t>
  </si>
  <si>
    <t>Magnetic Charging Cable</t>
  </si>
  <si>
    <t>Detachable magnetic USB cable</t>
  </si>
  <si>
    <t>Laptop Stand</t>
  </si>
  <si>
    <t>Raises laptop for ergonomic use</t>
  </si>
  <si>
    <t>Webcam</t>
  </si>
  <si>
    <t>External camera for video conferencing</t>
  </si>
  <si>
    <t xml:space="preserve"> Item Name 4</t>
  </si>
  <si>
    <t xml:space="preserve"> Description 4</t>
  </si>
  <si>
    <t xml:space="preserve"> Item Name 5</t>
  </si>
  <si>
    <t xml:space="preserve"> Description 5</t>
  </si>
  <si>
    <t xml:space="preserve"> Item Name 6</t>
  </si>
  <si>
    <t xml:space="preserve"> Description 6</t>
  </si>
  <si>
    <t xml:space="preserve"> Item Name 7</t>
  </si>
  <si>
    <t xml:space="preserve"> Description 7</t>
  </si>
  <si>
    <t xml:space="preserve"> Item Name 8</t>
  </si>
  <si>
    <t xml:space="preserve"> Description 8</t>
  </si>
  <si>
    <t xml:space="preserve"> Description 9</t>
  </si>
  <si>
    <t xml:space="preserve"> Item Name 9</t>
  </si>
  <si>
    <t xml:space="preserve"> Item Name 10</t>
  </si>
  <si>
    <t xml:space="preserve"> Description 10</t>
  </si>
  <si>
    <t xml:space="preserve"> Item Name 11</t>
  </si>
  <si>
    <t xml:space="preserve"> Description 11</t>
  </si>
  <si>
    <t xml:space="preserve"> Item Name 12</t>
  </si>
  <si>
    <t xml:space="preserve"> Description 12</t>
  </si>
  <si>
    <t xml:space="preserve"> Item Name 13</t>
  </si>
  <si>
    <t xml:space="preserve"> Description 13</t>
  </si>
  <si>
    <t xml:space="preserve"> Item Name 14</t>
  </si>
  <si>
    <t xml:space="preserve"> Description 14</t>
  </si>
  <si>
    <t xml:space="preserve"> Item Name 15</t>
  </si>
  <si>
    <t xml:space="preserve"> Description 15</t>
  </si>
  <si>
    <t xml:space="preserve"> Item Name 16</t>
  </si>
  <si>
    <t xml:space="preserve"> Description 16</t>
  </si>
  <si>
    <t>Aarav Pvt ltd</t>
  </si>
  <si>
    <t>Aanya Pvt ltd</t>
  </si>
  <si>
    <t>Aditya Pvt ltd</t>
  </si>
  <si>
    <t>Ananya Pvt ltd</t>
  </si>
  <si>
    <t>Arjun Pvt ltd</t>
  </si>
  <si>
    <t>Avni Pvt ltd</t>
  </si>
  <si>
    <t>Bhavya Pvt ltd</t>
  </si>
  <si>
    <t>Chirag Pvt ltd</t>
  </si>
  <si>
    <t>Diya Pvt ltd</t>
  </si>
  <si>
    <t>Devansh Pvt ltd</t>
  </si>
  <si>
    <t>Esha Pvt ltd</t>
  </si>
  <si>
    <t>Gautam Pvt ltd</t>
  </si>
  <si>
    <t>Harsh Pvt ltd</t>
  </si>
  <si>
    <t>Isha Pvt ltd</t>
  </si>
  <si>
    <t>Ishaan Pvt ltd</t>
  </si>
  <si>
    <t>Jai Pvt ltd</t>
  </si>
  <si>
    <t>Jiya Pvt ltd</t>
  </si>
  <si>
    <t>Karan Pvt ltd</t>
  </si>
  <si>
    <t>Kavya Pvt ltd</t>
  </si>
  <si>
    <t>Krish Pvt ltd</t>
  </si>
  <si>
    <t>Kriti Pvt ltd</t>
  </si>
  <si>
    <t>Laksh Pvt ltd</t>
  </si>
  <si>
    <t>Mahi Pvt ltd</t>
  </si>
  <si>
    <t>Meera Pvt ltd</t>
  </si>
  <si>
    <t>Neha Pvt ltd</t>
  </si>
  <si>
    <t>Nikhil Pvt ltd</t>
  </si>
  <si>
    <t>Om Pvt ltd</t>
  </si>
  <si>
    <t>Parth Pvt ltd</t>
  </si>
  <si>
    <t>Pooja Pvt ltd</t>
  </si>
  <si>
    <t>Priya Pvt ltd</t>
  </si>
  <si>
    <t>Rahul Pvt ltd</t>
  </si>
  <si>
    <t>Riya Pvt ltd</t>
  </si>
  <si>
    <t>Rohit Pvt ltd</t>
  </si>
  <si>
    <t>Saanvi Pvt ltd</t>
  </si>
  <si>
    <t>Sahil Pvt ltd</t>
  </si>
  <si>
    <t>Sakshi Pvt ltd</t>
  </si>
  <si>
    <t>Samar Pvt ltd</t>
  </si>
  <si>
    <t>Sanjay Pvt ltd</t>
  </si>
  <si>
    <t>Shreya Pvt ltd</t>
  </si>
  <si>
    <t>Siddharth Pvt ltd</t>
  </si>
  <si>
    <t>Sneha Pvt ltd</t>
  </si>
  <si>
    <t>Tanvi Pvt ltd</t>
  </si>
  <si>
    <t>Tarun Pvt ltd</t>
  </si>
  <si>
    <t>Tanish Pvt ltd</t>
  </si>
  <si>
    <t>Urvi Pvt ltd</t>
  </si>
  <si>
    <t>Vaibhav Pvt ltd</t>
  </si>
  <si>
    <t>Vansh Pvt ltd</t>
  </si>
  <si>
    <t>Varun Pvt ltd</t>
  </si>
  <si>
    <t>Yash Pvt ltd</t>
  </si>
  <si>
    <t>Zara Pvt ltd</t>
  </si>
  <si>
    <t>Aarohi Pvt ltd</t>
  </si>
  <si>
    <t>Abhinav Pvt ltd</t>
  </si>
  <si>
    <t>Akash Pvt ltd</t>
  </si>
  <si>
    <t>Alok Pvt ltd</t>
  </si>
  <si>
    <t>Amrita Pvt ltd</t>
  </si>
  <si>
    <t>Ankit Pvt ltd</t>
  </si>
  <si>
    <t>Anjali Pvt ltd</t>
  </si>
  <si>
    <t>Arnav Pvt ltd</t>
  </si>
  <si>
    <t>Bhanu Pvt ltd</t>
  </si>
  <si>
    <t>Chaitanya Pvt ltd</t>
  </si>
  <si>
    <t>Deepa Pvt ltd</t>
  </si>
  <si>
    <t>Devika Pvt ltd</t>
  </si>
  <si>
    <t>Dhruv Pvt ltd</t>
  </si>
  <si>
    <t>Divya Pvt ltd</t>
  </si>
  <si>
    <t>Gaurav Pvt ltd</t>
  </si>
  <si>
    <t>Hemant Pvt ltd</t>
  </si>
  <si>
    <t>Jatin Pvt ltd</t>
  </si>
  <si>
    <t>Juhi Pvt ltd</t>
  </si>
  <si>
    <t>Kunal Pvt ltd</t>
  </si>
  <si>
    <t>Manish Pvt ltd</t>
  </si>
  <si>
    <t>Mohit Pvt ltd</t>
  </si>
  <si>
    <t>Parth Joshi Pvt ltd</t>
  </si>
  <si>
    <t>Amith Pvt ltd</t>
  </si>
  <si>
    <t>Aarav Kumar Pvt ltd</t>
  </si>
  <si>
    <t>Aanya Patel Pvt ltd</t>
  </si>
  <si>
    <t>Aditya Sharma Pvt ltd</t>
  </si>
  <si>
    <t>Ananya Singh Pvt ltd</t>
  </si>
  <si>
    <t>Arjun Verma Pvt ltd</t>
  </si>
  <si>
    <t>Avni Mishra Pvt ltd</t>
  </si>
  <si>
    <t>Bhavya Reddy Pvt ltd</t>
  </si>
  <si>
    <t>Chirag Jain Pvt ltd</t>
  </si>
  <si>
    <t>Diya Agarwal Pvt ltd</t>
  </si>
  <si>
    <t>Devansh Kapoor Pvt ltd</t>
  </si>
  <si>
    <t>Esha Banerjee Pvt ltd</t>
  </si>
  <si>
    <t>Gautam Das Pvt ltd</t>
  </si>
  <si>
    <t>Harsh Rao Pvt ltd</t>
  </si>
  <si>
    <t>Isha Nair Pvt ltd</t>
  </si>
  <si>
    <t>Ishaan Gupta Pvt ltd</t>
  </si>
  <si>
    <t>Jai Menon Pvt ltd</t>
  </si>
  <si>
    <t>Jiya Ghosh Pvt ltd</t>
  </si>
  <si>
    <t>Karan Sethi Pvt ltd</t>
  </si>
  <si>
    <t>Kavya Rao Pvt ltd</t>
  </si>
  <si>
    <t>Krish Mahajan Pvt ltd</t>
  </si>
  <si>
    <t>Kriti Singh Pvt ltd</t>
  </si>
  <si>
    <t>Laksh Khandelwal Pvt ltd</t>
  </si>
  <si>
    <t>Mahi Patel Pvt ltd</t>
  </si>
  <si>
    <t>Meera Deshpande Pvt ltd</t>
  </si>
  <si>
    <t>Neha Choudhary Pvt ltd</t>
  </si>
  <si>
    <t>Nikhil Pandey Pvt ltd</t>
  </si>
  <si>
    <t>Om Rao Pvt ltd</t>
  </si>
  <si>
    <t xml:space="preserve"> Item Name 17</t>
  </si>
  <si>
    <t xml:space="preserve"> Description 17</t>
  </si>
  <si>
    <t xml:space="preserve"> Item Name 18</t>
  </si>
  <si>
    <t xml:space="preserve"> Description 18</t>
  </si>
  <si>
    <t xml:space="preserve"> Item Name 19</t>
  </si>
  <si>
    <t xml:space="preserve"> Description 19</t>
  </si>
  <si>
    <t xml:space="preserve"> Item Name 20</t>
  </si>
  <si>
    <t xml:space="preserve"> Description 20</t>
  </si>
  <si>
    <t>Shiva Pvt.Ltd</t>
  </si>
  <si>
    <t>Invoice No</t>
  </si>
  <si>
    <t xml:space="preserve"> Invoice Date </t>
  </si>
  <si>
    <t xml:space="preserve">     E WAY BILL DATE </t>
  </si>
  <si>
    <t>Other Refernces</t>
  </si>
  <si>
    <t xml:space="preserve"> P.O. No.  </t>
  </si>
  <si>
    <t xml:space="preserve">PO654  </t>
  </si>
  <si>
    <t xml:space="preserve"> E-way Bill No.</t>
  </si>
  <si>
    <t xml:space="preserve">KUMAR </t>
  </si>
  <si>
    <t>BILL TO</t>
  </si>
  <si>
    <t>PCS</t>
  </si>
  <si>
    <t xml:space="preserve">Total Amount (in words)
</t>
  </si>
  <si>
    <t xml:space="preserve">Name:
</t>
  </si>
  <si>
    <t>IFSC Code:</t>
  </si>
  <si>
    <t>HDFC0009456</t>
  </si>
  <si>
    <t>IGST @18%</t>
  </si>
  <si>
    <t xml:space="preserve">     12/05/2025   </t>
  </si>
  <si>
    <t xml:space="preserve"> shiva@gmail.com</t>
  </si>
  <si>
    <t xml:space="preserve">                             PAN Number</t>
  </si>
  <si>
    <t xml:space="preserve">                            MOBILE NO</t>
  </si>
  <si>
    <t xml:space="preserve">                            GSTIN</t>
  </si>
  <si>
    <r>
      <rPr>
        <b/>
        <sz val="10"/>
        <rFont val="Trebuchet MS"/>
        <family val="2"/>
      </rPr>
      <t xml:space="preserve">Address </t>
    </r>
    <r>
      <rPr>
        <sz val="10"/>
        <rFont val="Trebuchet MS"/>
        <family val="2"/>
      </rPr>
      <t xml:space="preserve"> 5th Main, Vytila, Kannur, 670009</t>
    </r>
  </si>
  <si>
    <t>TOTAL</t>
  </si>
  <si>
    <t>TAX INVOICE</t>
  </si>
  <si>
    <t xml:space="preserve">                           Email</t>
  </si>
  <si>
    <t>1. Goods once sold will not be taken back or exchanged
2. All disputes are subject to Karnataka jurisdiction only</t>
  </si>
  <si>
    <t>Page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</si>
</sst>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* #,##0_ ;_ * \-#,##0_ ;_ * &quot;-&quot;??_ ;_ @_ "/>
  </numFmts>
  <fonts count="31" x14ac:knownFonts="1">
    <font>
      <sz val="10"/>
      <color rgb="FF000000"/>
      <name val="Times New Roman"/>
      <charset val="204"/>
    </font>
    <font>
      <sz val="10.5"/>
      <name val="Tahoma"/>
      <family val="2"/>
    </font>
    <font>
      <sz val="10"/>
      <name val="Trebuchet MS"/>
      <family val="2"/>
    </font>
    <font>
      <sz val="11"/>
      <name val="Tahoma"/>
      <family val="2"/>
    </font>
    <font>
      <sz val="9.5"/>
      <name val="Tahoma"/>
      <family val="2"/>
    </font>
    <font>
      <sz val="9.5"/>
      <color rgb="FF000000"/>
      <name val="Tahoma"/>
      <family val="2"/>
    </font>
    <font>
      <i/>
      <sz val="10"/>
      <name val="Trebuchet MS"/>
      <family val="2"/>
    </font>
    <font>
      <b/>
      <sz val="9"/>
      <name val="Trebuchet MS"/>
      <family val="2"/>
    </font>
    <font>
      <sz val="8.5"/>
      <name val="Tahoma"/>
      <family val="2"/>
    </font>
    <font>
      <sz val="8.5"/>
      <color rgb="FF000000"/>
      <name val="Tahoma"/>
      <family val="2"/>
    </font>
    <font>
      <sz val="10"/>
      <color rgb="FF868597"/>
      <name val="Trebuchet MS"/>
      <family val="2"/>
    </font>
    <font>
      <sz val="8.5"/>
      <name val="Tahoma"/>
      <family val="2"/>
    </font>
    <font>
      <sz val="8"/>
      <name val="Times New Roman"/>
      <family val="1"/>
    </font>
    <font>
      <sz val="9.5"/>
      <name val="Microsoft Sans Serif"/>
      <family val="2"/>
    </font>
    <font>
      <sz val="9.5"/>
      <name val="Tahoma"/>
      <family val="2"/>
    </font>
    <font>
      <sz val="11"/>
      <color rgb="FF006100"/>
      <name val="Calibri"/>
      <family val="2"/>
      <scheme val="minor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sz val="9"/>
      <name val="Tahoma"/>
      <family val="2"/>
    </font>
    <font>
      <sz val="9"/>
      <color rgb="FF000000"/>
      <name val="Times New Roman"/>
      <family val="1"/>
    </font>
    <font>
      <b/>
      <sz val="10"/>
      <name val="Trebuchet MS"/>
      <family val="2"/>
    </font>
    <font>
      <sz val="10"/>
      <name val="Trebuchet MS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Trebuchet MS"/>
      <family val="2"/>
    </font>
    <font>
      <b/>
      <sz val="11"/>
      <color rgb="FF000000"/>
      <name val="Times New Roman"/>
      <family val="1"/>
    </font>
    <font>
      <b/>
      <i/>
      <sz val="10"/>
      <name val="Arial"/>
      <family val="2"/>
    </font>
    <font>
      <b/>
      <sz val="11"/>
      <name val="Arial"/>
      <family val="2"/>
    </font>
    <font>
      <b/>
      <sz val="13.5"/>
      <color theme="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DE8D2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5" fillId="3" borderId="0" applyNumberFormat="0" applyBorder="0" applyAlignment="0" applyProtection="0"/>
  </cellStyleXfs>
  <cellXfs count="147"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 wrapText="1"/>
    </xf>
    <xf numFmtId="0" fontId="15" fillId="3" borderId="0" xfId="1" applyAlignment="1">
      <alignment horizontal="left" vertical="top"/>
    </xf>
    <xf numFmtId="0" fontId="2" fillId="4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wrapText="1"/>
    </xf>
    <xf numFmtId="0" fontId="1" fillId="4" borderId="2" xfId="0" applyFont="1" applyFill="1" applyBorder="1" applyAlignment="1">
      <alignment horizontal="left" vertical="top" wrapText="1"/>
    </xf>
    <xf numFmtId="0" fontId="0" fillId="4" borderId="3" xfId="0" applyFill="1" applyBorder="1" applyAlignment="1">
      <alignment horizontal="left" wrapText="1"/>
    </xf>
    <xf numFmtId="0" fontId="0" fillId="4" borderId="4" xfId="0" applyFill="1" applyBorder="1" applyAlignment="1">
      <alignment horizontal="left" wrapText="1"/>
    </xf>
    <xf numFmtId="0" fontId="0" fillId="4" borderId="5" xfId="0" applyFill="1" applyBorder="1" applyAlignment="1">
      <alignment horizontal="left" wrapText="1"/>
    </xf>
    <xf numFmtId="0" fontId="0" fillId="4" borderId="6" xfId="0" applyFill="1" applyBorder="1" applyAlignment="1">
      <alignment horizontal="left" wrapText="1"/>
    </xf>
    <xf numFmtId="0" fontId="0" fillId="4" borderId="7" xfId="0" applyFill="1" applyBorder="1" applyAlignment="1">
      <alignment horizontal="left" wrapText="1"/>
    </xf>
    <xf numFmtId="0" fontId="0" fillId="4" borderId="8" xfId="0" applyFill="1" applyBorder="1" applyAlignment="1">
      <alignment horizontal="left" wrapText="1"/>
    </xf>
    <xf numFmtId="0" fontId="2" fillId="4" borderId="8" xfId="0" applyFont="1" applyFill="1" applyBorder="1" applyAlignment="1">
      <alignment horizontal="left" vertical="top" wrapText="1"/>
    </xf>
    <xf numFmtId="0" fontId="0" fillId="4" borderId="3" xfId="0" applyFill="1" applyBorder="1" applyAlignment="1">
      <alignment horizontal="left" vertical="center" wrapText="1"/>
    </xf>
    <xf numFmtId="0" fontId="0" fillId="4" borderId="4" xfId="0" applyFill="1" applyBorder="1" applyAlignment="1">
      <alignment horizontal="left" vertical="center" wrapText="1"/>
    </xf>
    <xf numFmtId="0" fontId="0" fillId="4" borderId="8" xfId="0" applyFill="1" applyBorder="1" applyAlignment="1">
      <alignment horizontal="left" vertical="center" wrapText="1"/>
    </xf>
    <xf numFmtId="1" fontId="0" fillId="4" borderId="9" xfId="0" applyNumberFormat="1" applyFill="1" applyBorder="1" applyAlignment="1">
      <alignment horizontal="left" vertical="center" wrapText="1"/>
    </xf>
    <xf numFmtId="0" fontId="17" fillId="4" borderId="2" xfId="0" applyFont="1" applyFill="1" applyBorder="1" applyAlignment="1">
      <alignment horizontal="left" vertical="center" wrapText="1"/>
    </xf>
    <xf numFmtId="0" fontId="17" fillId="4" borderId="3" xfId="0" applyFont="1" applyFill="1" applyBorder="1" applyAlignment="1">
      <alignment horizontal="left" vertical="center" wrapText="1"/>
    </xf>
    <xf numFmtId="0" fontId="17" fillId="4" borderId="4" xfId="0" applyFont="1" applyFill="1" applyBorder="1" applyAlignment="1">
      <alignment horizontal="left" vertical="center" wrapText="1"/>
    </xf>
    <xf numFmtId="14" fontId="0" fillId="4" borderId="0" xfId="0" applyNumberFormat="1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16" fillId="0" borderId="0" xfId="0" applyFont="1" applyAlignment="1">
      <alignment horizontal="left" vertical="top"/>
    </xf>
    <xf numFmtId="0" fontId="16" fillId="4" borderId="5" xfId="0" applyFont="1" applyFill="1" applyBorder="1" applyAlignment="1">
      <alignment horizontal="left" vertical="top"/>
    </xf>
    <xf numFmtId="1" fontId="0" fillId="4" borderId="6" xfId="0" applyNumberFormat="1" applyFill="1" applyBorder="1" applyAlignment="1">
      <alignment horizontal="left" vertical="center" wrapText="1"/>
    </xf>
    <xf numFmtId="14" fontId="0" fillId="4" borderId="3" xfId="0" applyNumberFormat="1" applyFill="1" applyBorder="1" applyAlignment="1">
      <alignment horizontal="left" vertical="center" wrapText="1"/>
    </xf>
    <xf numFmtId="1" fontId="0" fillId="4" borderId="4" xfId="0" applyNumberFormat="1" applyFill="1" applyBorder="1" applyAlignment="1">
      <alignment horizontal="left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left" vertical="top" wrapText="1" indent="2"/>
    </xf>
    <xf numFmtId="0" fontId="8" fillId="4" borderId="2" xfId="0" applyFont="1" applyFill="1" applyBorder="1" applyAlignment="1">
      <alignment horizontal="left" vertical="top" wrapText="1"/>
    </xf>
    <xf numFmtId="0" fontId="11" fillId="4" borderId="5" xfId="0" applyFont="1" applyFill="1" applyBorder="1" applyAlignment="1">
      <alignment horizontal="left" vertical="top" wrapText="1"/>
    </xf>
    <xf numFmtId="0" fontId="0" fillId="4" borderId="6" xfId="0" applyFill="1" applyBorder="1" applyAlignment="1">
      <alignment horizontal="left" vertical="top" wrapText="1" indent="2"/>
    </xf>
    <xf numFmtId="0" fontId="0" fillId="4" borderId="5" xfId="0" applyFill="1" applyBorder="1" applyAlignment="1">
      <alignment horizontal="left" vertical="top" wrapText="1"/>
    </xf>
    <xf numFmtId="0" fontId="8" fillId="4" borderId="5" xfId="0" applyFont="1" applyFill="1" applyBorder="1" applyAlignment="1">
      <alignment horizontal="left" vertical="top" wrapText="1"/>
    </xf>
    <xf numFmtId="1" fontId="9" fillId="4" borderId="6" xfId="0" applyNumberFormat="1" applyFont="1" applyFill="1" applyBorder="1" applyAlignment="1">
      <alignment horizontal="left" vertical="top" indent="2" shrinkToFit="1"/>
    </xf>
    <xf numFmtId="0" fontId="8" fillId="4" borderId="7" xfId="0" applyFont="1" applyFill="1" applyBorder="1" applyAlignment="1">
      <alignment horizontal="left" vertical="top" wrapText="1"/>
    </xf>
    <xf numFmtId="0" fontId="8" fillId="4" borderId="9" xfId="0" applyFont="1" applyFill="1" applyBorder="1" applyAlignment="1">
      <alignment horizontal="left" vertical="top" wrapText="1" indent="2"/>
    </xf>
    <xf numFmtId="0" fontId="4" fillId="4" borderId="0" xfId="0" applyFont="1" applyFill="1" applyAlignment="1">
      <alignment horizontal="right" wrapText="1"/>
    </xf>
    <xf numFmtId="44" fontId="0" fillId="4" borderId="9" xfId="0" applyNumberFormat="1" applyFill="1" applyBorder="1" applyAlignment="1">
      <alignment horizontal="right" wrapText="1"/>
    </xf>
    <xf numFmtId="0" fontId="4" fillId="4" borderId="7" xfId="0" applyFont="1" applyFill="1" applyBorder="1" applyAlignment="1">
      <alignment horizontal="right" wrapText="1"/>
    </xf>
    <xf numFmtId="0" fontId="4" fillId="4" borderId="9" xfId="0" applyFont="1" applyFill="1" applyBorder="1" applyAlignment="1">
      <alignment horizontal="right" wrapText="1"/>
    </xf>
    <xf numFmtId="0" fontId="4" fillId="4" borderId="14" xfId="0" applyFont="1" applyFill="1" applyBorder="1" applyAlignment="1">
      <alignment horizontal="right" wrapText="1"/>
    </xf>
    <xf numFmtId="0" fontId="7" fillId="2" borderId="10" xfId="0" applyFont="1" applyFill="1" applyBorder="1" applyAlignment="1">
      <alignment horizontal="right" vertical="top" wrapText="1"/>
    </xf>
    <xf numFmtId="0" fontId="7" fillId="2" borderId="11" xfId="0" applyFont="1" applyFill="1" applyBorder="1" applyAlignment="1">
      <alignment horizontal="right" vertical="top" wrapText="1"/>
    </xf>
    <xf numFmtId="0" fontId="17" fillId="4" borderId="2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right" wrapText="1"/>
    </xf>
    <xf numFmtId="0" fontId="14" fillId="4" borderId="6" xfId="0" applyFont="1" applyFill="1" applyBorder="1" applyAlignment="1">
      <alignment horizontal="right" wrapText="1"/>
    </xf>
    <xf numFmtId="1" fontId="5" fillId="4" borderId="13" xfId="0" applyNumberFormat="1" applyFont="1" applyFill="1" applyBorder="1" applyAlignment="1">
      <alignment horizontal="right" shrinkToFit="1"/>
    </xf>
    <xf numFmtId="164" fontId="5" fillId="4" borderId="6" xfId="0" applyNumberFormat="1" applyFont="1" applyFill="1" applyBorder="1" applyAlignment="1">
      <alignment horizontal="right" shrinkToFit="1"/>
    </xf>
    <xf numFmtId="0" fontId="14" fillId="4" borderId="6" xfId="0" applyFont="1" applyFill="1" applyBorder="1" applyAlignment="1">
      <alignment horizontal="left" wrapText="1"/>
    </xf>
    <xf numFmtId="0" fontId="4" fillId="4" borderId="6" xfId="0" applyFont="1" applyFill="1" applyBorder="1" applyAlignment="1">
      <alignment horizontal="right" wrapText="1"/>
    </xf>
    <xf numFmtId="0" fontId="16" fillId="4" borderId="0" xfId="0" applyFont="1" applyFill="1" applyAlignment="1">
      <alignment horizontal="center" vertical="center" wrapText="1"/>
    </xf>
    <xf numFmtId="0" fontId="16" fillId="4" borderId="9" xfId="0" applyFont="1" applyFill="1" applyBorder="1" applyAlignment="1">
      <alignment horizontal="left" wrapText="1"/>
    </xf>
    <xf numFmtId="0" fontId="0" fillId="4" borderId="0" xfId="0" applyFill="1" applyAlignment="1">
      <alignment horizontal="left" vertical="top"/>
    </xf>
    <xf numFmtId="0" fontId="17" fillId="4" borderId="3" xfId="0" applyFont="1" applyFill="1" applyBorder="1" applyAlignment="1">
      <alignment wrapText="1"/>
    </xf>
    <xf numFmtId="0" fontId="17" fillId="4" borderId="8" xfId="0" applyFont="1" applyFill="1" applyBorder="1" applyAlignment="1">
      <alignment wrapText="1"/>
    </xf>
    <xf numFmtId="0" fontId="22" fillId="4" borderId="0" xfId="0" applyFont="1" applyFill="1" applyAlignment="1">
      <alignment horizontal="left" vertical="top" wrapText="1"/>
    </xf>
    <xf numFmtId="1" fontId="23" fillId="4" borderId="13" xfId="0" applyNumberFormat="1" applyFont="1" applyFill="1" applyBorder="1" applyAlignment="1">
      <alignment horizontal="center" shrinkToFit="1"/>
    </xf>
    <xf numFmtId="43" fontId="5" fillId="4" borderId="6" xfId="0" applyNumberFormat="1" applyFont="1" applyFill="1" applyBorder="1" applyAlignment="1">
      <alignment horizontal="right" shrinkToFit="1"/>
    </xf>
    <xf numFmtId="0" fontId="26" fillId="2" borderId="15" xfId="0" applyFont="1" applyFill="1" applyBorder="1" applyAlignment="1">
      <alignment horizontal="center" vertical="center" wrapText="1"/>
    </xf>
    <xf numFmtId="0" fontId="26" fillId="2" borderId="11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 wrapText="1"/>
    </xf>
    <xf numFmtId="44" fontId="27" fillId="2" borderId="15" xfId="0" applyNumberFormat="1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right" wrapText="1"/>
    </xf>
    <xf numFmtId="0" fontId="29" fillId="4" borderId="8" xfId="0" applyFont="1" applyFill="1" applyBorder="1" applyAlignment="1">
      <alignment horizontal="left" vertical="top" wrapText="1"/>
    </xf>
    <xf numFmtId="0" fontId="17" fillId="4" borderId="0" xfId="0" applyFont="1" applyFill="1" applyAlignment="1">
      <alignment horizontal="center"/>
    </xf>
    <xf numFmtId="0" fontId="17" fillId="4" borderId="0" xfId="0" applyFont="1" applyFill="1" applyAlignment="1">
      <alignment horizontal="right"/>
    </xf>
    <xf numFmtId="0" fontId="0" fillId="2" borderId="20" xfId="0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0" fillId="0" borderId="0" xfId="0" applyFont="1" applyAlignment="1">
      <alignment horizontal="left" vertical="center" wrapText="1"/>
    </xf>
    <xf numFmtId="0" fontId="4" fillId="4" borderId="23" xfId="0" applyFont="1" applyFill="1" applyBorder="1" applyAlignment="1">
      <alignment horizontal="right" wrapText="1"/>
    </xf>
    <xf numFmtId="0" fontId="4" fillId="4" borderId="24" xfId="0" applyFont="1" applyFill="1" applyBorder="1" applyAlignment="1">
      <alignment horizontal="right" wrapText="1"/>
    </xf>
    <xf numFmtId="0" fontId="14" fillId="4" borderId="25" xfId="0" applyFont="1" applyFill="1" applyBorder="1" applyAlignment="1">
      <alignment horizontal="left" wrapText="1"/>
    </xf>
    <xf numFmtId="1" fontId="23" fillId="4" borderId="26" xfId="0" applyNumberFormat="1" applyFont="1" applyFill="1" applyBorder="1" applyAlignment="1">
      <alignment horizontal="center" shrinkToFit="1"/>
    </xf>
    <xf numFmtId="43" fontId="5" fillId="4" borderId="27" xfId="0" applyNumberFormat="1" applyFont="1" applyFill="1" applyBorder="1" applyAlignment="1">
      <alignment horizontal="right" shrinkToFit="1"/>
    </xf>
    <xf numFmtId="43" fontId="5" fillId="4" borderId="29" xfId="0" applyNumberFormat="1" applyFont="1" applyFill="1" applyBorder="1" applyAlignment="1">
      <alignment horizontal="right" shrinkToFit="1"/>
    </xf>
    <xf numFmtId="0" fontId="4" fillId="4" borderId="31" xfId="0" applyFont="1" applyFill="1" applyBorder="1" applyAlignment="1">
      <alignment horizontal="right" wrapText="1"/>
    </xf>
    <xf numFmtId="0" fontId="4" fillId="4" borderId="32" xfId="0" applyFont="1" applyFill="1" applyBorder="1" applyAlignment="1">
      <alignment horizontal="right" wrapText="1"/>
    </xf>
    <xf numFmtId="0" fontId="4" fillId="4" borderId="33" xfId="0" applyFont="1" applyFill="1" applyBorder="1" applyAlignment="1">
      <alignment horizontal="right" wrapText="1"/>
    </xf>
    <xf numFmtId="1" fontId="23" fillId="4" borderId="34" xfId="0" applyNumberFormat="1" applyFont="1" applyFill="1" applyBorder="1" applyAlignment="1">
      <alignment horizontal="center" shrinkToFit="1"/>
    </xf>
    <xf numFmtId="43" fontId="5" fillId="4" borderId="35" xfId="0" applyNumberFormat="1" applyFont="1" applyFill="1" applyBorder="1" applyAlignment="1">
      <alignment horizontal="right" shrinkToFit="1"/>
    </xf>
    <xf numFmtId="0" fontId="0" fillId="0" borderId="0" xfId="0" applyAlignment="1">
      <alignment horizontal="right" vertical="top"/>
    </xf>
    <xf numFmtId="0" fontId="17" fillId="4" borderId="3" xfId="0" applyFont="1" applyFill="1" applyBorder="1" applyAlignment="1">
      <alignment vertical="center"/>
    </xf>
    <xf numFmtId="0" fontId="1" fillId="4" borderId="5" xfId="0" applyFont="1" applyFill="1" applyBorder="1" applyAlignment="1">
      <alignment horizontal="left" vertical="top" wrapText="1"/>
    </xf>
    <xf numFmtId="0" fontId="17" fillId="4" borderId="0" xfId="0" applyFont="1" applyFill="1" applyAlignment="1">
      <alignment wrapText="1"/>
    </xf>
    <xf numFmtId="0" fontId="16" fillId="0" borderId="0" xfId="0" applyFont="1" applyAlignment="1">
      <alignment horizontal="right" vertical="top"/>
    </xf>
    <xf numFmtId="0" fontId="29" fillId="4" borderId="31" xfId="0" applyFont="1" applyFill="1" applyBorder="1" applyAlignment="1">
      <alignment horizontal="left" vertical="top" wrapText="1"/>
    </xf>
    <xf numFmtId="0" fontId="0" fillId="4" borderId="31" xfId="0" applyFill="1" applyBorder="1" applyAlignment="1">
      <alignment horizontal="left" wrapText="1"/>
    </xf>
    <xf numFmtId="0" fontId="0" fillId="4" borderId="31" xfId="0" applyFill="1" applyBorder="1" applyAlignment="1">
      <alignment horizontal="right" wrapText="1"/>
    </xf>
    <xf numFmtId="0" fontId="25" fillId="4" borderId="28" xfId="0" applyFont="1" applyFill="1" applyBorder="1" applyAlignment="1">
      <alignment vertical="top"/>
    </xf>
    <xf numFmtId="0" fontId="25" fillId="4" borderId="0" xfId="0" applyFont="1" applyFill="1" applyAlignment="1">
      <alignment vertical="top"/>
    </xf>
    <xf numFmtId="0" fontId="25" fillId="4" borderId="6" xfId="0" applyFont="1" applyFill="1" applyBorder="1" applyAlignment="1">
      <alignment vertical="top"/>
    </xf>
    <xf numFmtId="0" fontId="24" fillId="4" borderId="22" xfId="0" applyFont="1" applyFill="1" applyBorder="1" applyAlignment="1">
      <alignment vertical="top"/>
    </xf>
    <xf numFmtId="0" fontId="24" fillId="4" borderId="23" xfId="0" applyFont="1" applyFill="1" applyBorder="1" applyAlignment="1">
      <alignment vertical="top"/>
    </xf>
    <xf numFmtId="0" fontId="2" fillId="4" borderId="16" xfId="0" applyFont="1" applyFill="1" applyBorder="1" applyAlignment="1">
      <alignment horizontal="left" vertical="top" wrapText="1"/>
    </xf>
    <xf numFmtId="0" fontId="2" fillId="4" borderId="21" xfId="0" applyFont="1" applyFill="1" applyBorder="1" applyAlignment="1">
      <alignment horizontal="left" vertical="top" wrapText="1"/>
    </xf>
    <xf numFmtId="0" fontId="21" fillId="4" borderId="0" xfId="0" applyFont="1" applyFill="1" applyAlignment="1">
      <alignment horizontal="left" vertical="top" wrapText="1"/>
    </xf>
    <xf numFmtId="0" fontId="2" fillId="4" borderId="0" xfId="0" applyFont="1" applyFill="1" applyAlignment="1">
      <alignment horizontal="left" vertical="top" wrapText="1"/>
    </xf>
    <xf numFmtId="0" fontId="17" fillId="4" borderId="3" xfId="0" applyFont="1" applyFill="1" applyBorder="1" applyAlignment="1">
      <alignment horizontal="left" vertical="center" wrapText="1"/>
    </xf>
    <xf numFmtId="0" fontId="17" fillId="4" borderId="5" xfId="0" applyFont="1" applyFill="1" applyBorder="1" applyAlignment="1">
      <alignment horizontal="left" vertical="top"/>
    </xf>
    <xf numFmtId="0" fontId="17" fillId="4" borderId="0" xfId="0" applyFont="1" applyFill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4" borderId="5" xfId="0" applyFill="1" applyBorder="1" applyAlignment="1">
      <alignment horizontal="left" wrapText="1"/>
    </xf>
    <xf numFmtId="0" fontId="0" fillId="4" borderId="0" xfId="0" applyFill="1" applyAlignment="1">
      <alignment horizontal="left" wrapText="1"/>
    </xf>
    <xf numFmtId="0" fontId="16" fillId="4" borderId="8" xfId="0" applyFont="1" applyFill="1" applyBorder="1" applyAlignment="1">
      <alignment horizontal="left" vertical="center" wrapText="1"/>
    </xf>
    <xf numFmtId="0" fontId="24" fillId="4" borderId="28" xfId="0" applyFont="1" applyFill="1" applyBorder="1" applyAlignment="1">
      <alignment vertical="top"/>
    </xf>
    <xf numFmtId="0" fontId="24" fillId="4" borderId="0" xfId="0" applyFont="1" applyFill="1" applyAlignment="1">
      <alignment vertical="top"/>
    </xf>
    <xf numFmtId="0" fontId="0" fillId="4" borderId="3" xfId="0" applyFill="1" applyBorder="1" applyAlignment="1">
      <alignment horizontal="left" vertical="center" wrapText="1"/>
    </xf>
    <xf numFmtId="0" fontId="8" fillId="4" borderId="2" xfId="0" applyFont="1" applyFill="1" applyBorder="1" applyAlignment="1">
      <alignment horizontal="left" vertical="top" wrapText="1"/>
    </xf>
    <xf numFmtId="0" fontId="8" fillId="4" borderId="3" xfId="0" applyFont="1" applyFill="1" applyBorder="1" applyAlignment="1">
      <alignment horizontal="left" vertical="top" wrapText="1"/>
    </xf>
    <xf numFmtId="0" fontId="8" fillId="4" borderId="4" xfId="0" applyFont="1" applyFill="1" applyBorder="1" applyAlignment="1">
      <alignment horizontal="left" vertical="top" wrapText="1"/>
    </xf>
    <xf numFmtId="0" fontId="11" fillId="4" borderId="0" xfId="0" applyFont="1" applyFill="1" applyAlignment="1">
      <alignment horizontal="left" vertical="top" wrapText="1" indent="2"/>
    </xf>
    <xf numFmtId="0" fontId="0" fillId="4" borderId="0" xfId="0" applyFill="1" applyAlignment="1">
      <alignment horizontal="left" vertical="top" wrapText="1" indent="2"/>
    </xf>
    <xf numFmtId="0" fontId="24" fillId="4" borderId="5" xfId="0" applyFont="1" applyFill="1" applyBorder="1" applyAlignment="1">
      <alignment vertical="top"/>
    </xf>
    <xf numFmtId="0" fontId="25" fillId="4" borderId="5" xfId="0" applyFont="1" applyFill="1" applyBorder="1" applyAlignment="1">
      <alignment vertical="top"/>
    </xf>
    <xf numFmtId="0" fontId="6" fillId="4" borderId="5" xfId="0" applyFont="1" applyFill="1" applyBorder="1" applyAlignment="1">
      <alignment horizontal="right" wrapText="1"/>
    </xf>
    <xf numFmtId="0" fontId="6" fillId="4" borderId="0" xfId="0" applyFont="1" applyFill="1" applyAlignment="1">
      <alignment horizontal="right" wrapText="1"/>
    </xf>
    <xf numFmtId="1" fontId="9" fillId="4" borderId="0" xfId="0" applyNumberFormat="1" applyFont="1" applyFill="1" applyAlignment="1">
      <alignment horizontal="left" vertical="top" indent="2" shrinkToFit="1"/>
    </xf>
    <xf numFmtId="0" fontId="0" fillId="4" borderId="6" xfId="0" applyFill="1" applyBorder="1" applyAlignment="1">
      <alignment horizontal="left" wrapText="1"/>
    </xf>
    <xf numFmtId="0" fontId="8" fillId="4" borderId="8" xfId="0" applyFont="1" applyFill="1" applyBorder="1" applyAlignment="1">
      <alignment horizontal="left" vertical="top" wrapText="1" indent="2"/>
    </xf>
    <xf numFmtId="0" fontId="0" fillId="4" borderId="7" xfId="0" applyFill="1" applyBorder="1" applyAlignment="1">
      <alignment horizontal="left" wrapText="1"/>
    </xf>
    <xf numFmtId="0" fontId="0" fillId="4" borderId="8" xfId="0" applyFill="1" applyBorder="1" applyAlignment="1">
      <alignment horizontal="left" wrapText="1"/>
    </xf>
    <xf numFmtId="0" fontId="0" fillId="4" borderId="9" xfId="0" applyFill="1" applyBorder="1" applyAlignment="1">
      <alignment horizontal="left" wrapText="1"/>
    </xf>
    <xf numFmtId="0" fontId="25" fillId="4" borderId="30" xfId="0" applyFont="1" applyFill="1" applyBorder="1" applyAlignment="1">
      <alignment vertical="top"/>
    </xf>
    <xf numFmtId="0" fontId="25" fillId="4" borderId="31" xfId="0" applyFont="1" applyFill="1" applyBorder="1" applyAlignment="1">
      <alignment vertical="top"/>
    </xf>
    <xf numFmtId="0" fontId="11" fillId="4" borderId="2" xfId="0" applyFont="1" applyFill="1" applyBorder="1" applyAlignment="1">
      <alignment horizontal="left" vertical="top" wrapText="1"/>
    </xf>
    <xf numFmtId="0" fontId="0" fillId="4" borderId="3" xfId="0" applyFill="1" applyBorder="1" applyAlignment="1">
      <alignment horizontal="left" vertical="top" wrapText="1"/>
    </xf>
    <xf numFmtId="0" fontId="0" fillId="4" borderId="4" xfId="0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18" fillId="4" borderId="5" xfId="0" applyFont="1" applyFill="1" applyBorder="1" applyAlignment="1">
      <alignment vertical="top" wrapText="1"/>
    </xf>
    <xf numFmtId="0" fontId="19" fillId="4" borderId="0" xfId="0" applyFont="1" applyFill="1" applyAlignment="1">
      <alignment vertical="top" wrapText="1"/>
    </xf>
    <xf numFmtId="0" fontId="19" fillId="4" borderId="8" xfId="0" applyFont="1" applyFill="1" applyBorder="1" applyAlignment="1">
      <alignment vertical="top" wrapText="1"/>
    </xf>
    <xf numFmtId="0" fontId="19" fillId="4" borderId="9" xfId="0" applyFont="1" applyFill="1" applyBorder="1" applyAlignment="1">
      <alignment vertical="top" wrapText="1"/>
    </xf>
    <xf numFmtId="0" fontId="11" fillId="4" borderId="5" xfId="0" applyFont="1" applyFill="1" applyBorder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0" fillId="4" borderId="6" xfId="0" applyFill="1" applyBorder="1" applyAlignment="1">
      <alignment horizontal="left" vertical="top" wrapText="1"/>
    </xf>
    <xf numFmtId="0" fontId="0" fillId="4" borderId="5" xfId="0" applyFill="1" applyBorder="1" applyAlignment="1">
      <alignment horizontal="left" vertical="top" wrapText="1"/>
    </xf>
    <xf numFmtId="0" fontId="2" fillId="4" borderId="31" xfId="0" applyFont="1" applyFill="1" applyBorder="1" applyAlignment="1">
      <alignment horizontal="left" vertical="top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2" borderId="18" xfId="0" applyFont="1" applyFill="1" applyBorder="1" applyAlignment="1">
      <alignment horizontal="center" vertical="center" wrapText="1"/>
    </xf>
    <xf numFmtId="0" fontId="3" fillId="2" borderId="19" xfId="0" applyFont="1" applyFill="1" applyBorder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145256</xdr:colOff>
      <xdr:row>3</xdr:row>
      <xdr:rowOff>88328</xdr:rowOff>
    </xdr:from>
    <xdr:ext cx="476249" cy="276224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881" y="872156"/>
          <a:ext cx="476249" cy="276224"/>
        </a:xfrm>
        <a:prstGeom prst="rect">
          <a:avLst/>
        </a:prstGeom>
      </xdr:spPr>
    </xdr:pic>
    <xdr:clientData/>
  </xdr:oneCellAnchor>
  <xdr:oneCellAnchor>
    <xdr:from>
      <xdr:col>1</xdr:col>
      <xdr:colOff>145256</xdr:colOff>
      <xdr:row>39</xdr:row>
      <xdr:rowOff>170585</xdr:rowOff>
    </xdr:from>
    <xdr:ext cx="742668" cy="430747"/>
    <xdr:pic>
      <xdr:nvPicPr>
        <xdr:cNvPr id="3" name="image1.jpeg">
          <a:extLst>
            <a:ext uri="{FF2B5EF4-FFF2-40B4-BE49-F238E27FC236}">
              <a16:creationId xmlns:a16="http://schemas.microsoft.com/office/drawing/2014/main" id="{1EE9B81C-2ECB-4D97-9D10-492302582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917" y="12165627"/>
          <a:ext cx="742668" cy="43074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298450</xdr:colOff>
          <xdr:row>16</xdr:row>
          <xdr:rowOff>0</xdr:rowOff>
        </xdr:from>
        <xdr:to>
          <xdr:col>13</xdr:col>
          <xdr:colOff>254000</xdr:colOff>
          <xdr:row>16</xdr:row>
          <xdr:rowOff>222250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I80"/>
  <sheetViews>
    <sheetView tabSelected="1" topLeftCell="G7" zoomScale="118" zoomScaleNormal="118" workbookViewId="0">
      <selection activeCell="B8" sqref="B8"/>
    </sheetView>
  </sheetViews>
  <sheetFormatPr defaultRowHeight="13" x14ac:dyDescent="0.3"/>
  <cols>
    <col min="2" max="2" width="16.5" customWidth="1"/>
    <col min="3" max="3" width="18.296875" customWidth="1"/>
    <col min="4" max="4" width="11.69921875" customWidth="1"/>
    <col min="5" max="5" width="14.19921875" customWidth="1"/>
    <col min="6" max="6" width="6.5" customWidth="1"/>
    <col min="7" max="7" width="15.296875" customWidth="1"/>
    <col min="8" max="8" width="26.69921875" customWidth="1"/>
    <col min="9" max="9" width="24.796875" bestFit="1" customWidth="1"/>
  </cols>
  <sheetData>
    <row r="2" spans="2:9" ht="30" customHeight="1" thickBot="1" x14ac:dyDescent="0.35">
      <c r="B2" s="66" t="s">
        <v>449</v>
      </c>
      <c r="C2" s="96" t="s">
        <v>0</v>
      </c>
      <c r="D2" s="97"/>
      <c r="E2" s="4"/>
      <c r="F2" s="4"/>
      <c r="G2" s="4"/>
      <c r="H2" s="4"/>
      <c r="I2" s="4"/>
    </row>
    <row r="3" spans="2:9" ht="18.649999999999999" customHeight="1" x14ac:dyDescent="0.3">
      <c r="B3" s="5"/>
      <c r="C3" s="3"/>
      <c r="D3" s="4"/>
      <c r="E3" s="6"/>
      <c r="F3" s="6"/>
      <c r="G3" s="6"/>
      <c r="H3" s="56" t="s">
        <v>446</v>
      </c>
      <c r="I3" s="7" t="str">
        <f ca="1">CONCATENATE("24", CHAR(RANDBETWEEN(65,90)), CHAR(RANDBETWEEN(65,90)), CHAR(RANDBETWEEN(65,90)), CHAR(RANDBETWEEN(65,90)), CHAR(RANDBETWEEN(65,90)), TEXT(RANDBETWEEN(1000,9999), "0000"), CHAR(RANDBETWEEN(65,90)), "1Z", CHAR(RANDBETWEEN(48,57)))</f>
        <v>24WAQBU2130M1Z7</v>
      </c>
    </row>
    <row r="4" spans="2:9" ht="18.649999999999999" customHeight="1" x14ac:dyDescent="0.3">
      <c r="B4" s="8"/>
      <c r="C4" s="58" t="s">
        <v>426</v>
      </c>
      <c r="D4" s="4"/>
      <c r="E4" s="4"/>
      <c r="F4" s="4"/>
      <c r="G4" s="4"/>
      <c r="H4" s="68" t="s">
        <v>445</v>
      </c>
      <c r="I4" s="9">
        <f ca="1">RANDBETWEEN(7456478292, 9999990099)</f>
        <v>9133704365</v>
      </c>
    </row>
    <row r="5" spans="2:9" ht="18.649999999999999" customHeight="1" x14ac:dyDescent="0.3">
      <c r="B5" s="8"/>
      <c r="C5" s="98" t="s">
        <v>447</v>
      </c>
      <c r="D5" s="99"/>
      <c r="E5" s="99"/>
      <c r="F5" s="3"/>
      <c r="G5" s="4"/>
      <c r="H5" s="68" t="s">
        <v>444</v>
      </c>
      <c r="I5" s="9" t="str">
        <f ca="1">CONCATENATE(CHAR(RANDBETWEEN(65,90)), CHAR(RANDBETWEEN(65,90)), CHAR(RANDBETWEEN(65,90)), CHAR(RANDBETWEEN(65,90)), CHAR(RANDBETWEEN(65,90)), TEXT(RANDBETWEEN(1000,9999), "0000"), CHAR(RANDBETWEEN(65,90)))</f>
        <v>PCZCT1207V</v>
      </c>
    </row>
    <row r="6" spans="2:9" ht="18.649999999999999" customHeight="1" thickBot="1" x14ac:dyDescent="0.35">
      <c r="B6" s="10"/>
      <c r="C6" s="12"/>
      <c r="D6" s="11"/>
      <c r="E6" s="11"/>
      <c r="F6" s="11"/>
      <c r="G6" s="11"/>
      <c r="H6" s="57" t="s">
        <v>450</v>
      </c>
      <c r="I6" s="54" t="s">
        <v>443</v>
      </c>
    </row>
    <row r="7" spans="2:9" ht="18.649999999999999" customHeight="1" x14ac:dyDescent="0.3">
      <c r="B7" s="17" t="s">
        <v>427</v>
      </c>
      <c r="C7" s="18" t="s">
        <v>428</v>
      </c>
      <c r="D7" s="100" t="s">
        <v>429</v>
      </c>
      <c r="E7" s="100"/>
      <c r="F7" s="18"/>
      <c r="G7" s="84" t="s">
        <v>430</v>
      </c>
      <c r="H7" s="27" t="s">
        <v>431</v>
      </c>
      <c r="I7" s="19" t="s">
        <v>433</v>
      </c>
    </row>
    <row r="8" spans="2:9" ht="18.649999999999999" customHeight="1" thickBot="1" x14ac:dyDescent="0.35">
      <c r="B8" s="23">
        <v>200</v>
      </c>
      <c r="C8" s="20">
        <f ca="1">RANDBETWEEN(DATE(2025,7,1), DATE(2025,7,31))</f>
        <v>45864</v>
      </c>
      <c r="D8" s="107">
        <v>45862</v>
      </c>
      <c r="E8" s="107"/>
      <c r="F8" s="21"/>
      <c r="G8" s="21" t="s">
        <v>434</v>
      </c>
      <c r="H8" s="53" t="str">
        <f ca="1">"PO"&amp;RANDBETWEEN(2025101,2025150)</f>
        <v>PO2025148</v>
      </c>
      <c r="I8" s="24">
        <f ca="1">RANDBETWEEN(123456789012,299999999999)</f>
        <v>224597384602</v>
      </c>
    </row>
    <row r="9" spans="2:9" ht="15.65" customHeight="1" x14ac:dyDescent="0.3">
      <c r="B9" s="44" t="s">
        <v>435</v>
      </c>
      <c r="C9" s="25"/>
      <c r="D9" s="13"/>
      <c r="E9" s="13"/>
      <c r="F9" s="13"/>
      <c r="G9" s="13"/>
      <c r="H9" s="13"/>
      <c r="I9" s="26"/>
    </row>
    <row r="10" spans="2:9" ht="15.65" customHeight="1" x14ac:dyDescent="0.3">
      <c r="B10" s="101" t="str">
        <f>VLOOKUP(B8,aa,2,0)</f>
        <v>Om Rao Pvt ltd</v>
      </c>
      <c r="C10" s="102"/>
      <c r="D10" s="102"/>
      <c r="E10" s="71"/>
      <c r="F10" s="21"/>
      <c r="G10" s="21"/>
      <c r="H10" s="21"/>
      <c r="I10" s="24"/>
    </row>
    <row r="11" spans="2:9" ht="15.65" customHeight="1" x14ac:dyDescent="0.3">
      <c r="B11" s="103" t="str">
        <f>VLOOKUP(B8,aa,3,0)</f>
        <v>110 Nehru Street, Patna, Bihar, 800001</v>
      </c>
      <c r="C11" s="104"/>
      <c r="D11" s="104"/>
      <c r="E11" s="55"/>
      <c r="F11" s="21"/>
      <c r="G11" s="21"/>
      <c r="H11" s="21"/>
      <c r="I11" s="24"/>
    </row>
    <row r="12" spans="2:9" ht="15.65" customHeight="1" x14ac:dyDescent="0.3">
      <c r="B12" s="105" t="str">
        <f ca="1">"GSTIN  "&amp;CONCATENATE("24", CHAR(RANDBETWEEN(65,90)), CHAR(RANDBETWEEN(65,90)), CHAR(RANDBETWEEN(65,90)), CHAR(RANDBETWEEN(65,90)), CHAR(RANDBETWEEN(65,90)), TEXT(RANDBETWEEN(1000,9999), "0000"), CHAR(RANDBETWEEN(65,90)), "1Z", CHAR(RANDBETWEEN(48,57)))</f>
        <v>GSTIN  24XNLTQ1627A1Z7</v>
      </c>
      <c r="C12" s="106"/>
      <c r="D12" s="21"/>
      <c r="E12" s="21"/>
      <c r="F12" s="21"/>
      <c r="G12" s="21"/>
      <c r="H12" s="21"/>
      <c r="I12" s="24"/>
    </row>
    <row r="13" spans="2:9" ht="15.65" customHeight="1" x14ac:dyDescent="0.3">
      <c r="B13" s="105">
        <f ca="1">RANDBETWEEN(8765432176,9865488888)</f>
        <v>9226338376</v>
      </c>
      <c r="C13" s="106"/>
      <c r="D13" s="21"/>
      <c r="E13" s="21"/>
      <c r="F13" s="21"/>
      <c r="G13" s="21"/>
      <c r="H13" s="21"/>
      <c r="I13" s="24"/>
    </row>
    <row r="14" spans="2:9" ht="15.65" customHeight="1" x14ac:dyDescent="0.3">
      <c r="B14" s="105" t="str">
        <f ca="1">"PAN Number: "&amp;  CONCATENATE(CHAR(RANDBETWEEN(65,90)), CHAR(RANDBETWEEN(65,90)), CHAR(RANDBETWEEN(65,90)), CHAR(RANDBETWEEN(65,90)), CHAR(RANDBETWEEN(65,90)), TEXT(RANDBETWEEN(1000,9999), "0000"), CHAR(RANDBETWEEN(65,90)))</f>
        <v>PAN Number: ZWSPT1355Y</v>
      </c>
      <c r="C14" s="106"/>
      <c r="D14" s="21"/>
      <c r="E14" s="21"/>
      <c r="F14" s="21"/>
      <c r="G14" s="21"/>
      <c r="H14" s="21"/>
      <c r="I14" s="24"/>
    </row>
    <row r="15" spans="2:9" ht="15.65" customHeight="1" thickBot="1" x14ac:dyDescent="0.35">
      <c r="B15" s="10"/>
      <c r="C15" s="11"/>
      <c r="D15" s="15"/>
      <c r="E15" s="15"/>
      <c r="F15" s="15"/>
      <c r="G15" s="15"/>
      <c r="H15" s="15"/>
      <c r="I15" s="16"/>
    </row>
    <row r="16" spans="2:9" ht="45" customHeight="1" x14ac:dyDescent="0.3">
      <c r="B16" s="131" t="s">
        <v>1</v>
      </c>
      <c r="C16" s="133"/>
      <c r="D16" s="133"/>
      <c r="E16" s="133"/>
      <c r="F16" s="131" t="s">
        <v>2</v>
      </c>
      <c r="G16" s="132"/>
      <c r="H16" s="46" t="s">
        <v>3</v>
      </c>
      <c r="I16" s="45" t="s">
        <v>4</v>
      </c>
    </row>
    <row r="17" spans="2:9" ht="21" customHeight="1" x14ac:dyDescent="0.25">
      <c r="B17" s="94" t="str">
        <f>VLOOKUP(B8,aa,4,0)</f>
        <v>Webcam</v>
      </c>
      <c r="C17" s="95"/>
      <c r="D17" s="95"/>
      <c r="E17" s="72"/>
      <c r="F17" s="73">
        <f ca="1">RANDBETWEEN(20,40)</f>
        <v>28</v>
      </c>
      <c r="G17" s="74" t="s">
        <v>436</v>
      </c>
      <c r="H17" s="75">
        <f ca="1">RANDBETWEEN(100,400)</f>
        <v>296</v>
      </c>
      <c r="I17" s="76">
        <f ca="1">F17*H17</f>
        <v>8288</v>
      </c>
    </row>
    <row r="18" spans="2:9" ht="36" customHeight="1" x14ac:dyDescent="0.25">
      <c r="B18" s="91" t="str">
        <f>VLOOKUP(B8,aa,5,0)</f>
        <v>External camera for video conferencing</v>
      </c>
      <c r="C18" s="92"/>
      <c r="D18" s="92"/>
      <c r="E18" s="93"/>
      <c r="F18" s="47"/>
      <c r="G18" s="48"/>
      <c r="H18" s="59"/>
      <c r="I18" s="77"/>
    </row>
    <row r="19" spans="2:9" ht="21" customHeight="1" x14ac:dyDescent="0.25">
      <c r="B19" s="108" t="str">
        <f ca="1">VLOOKUP(B8,aa,6,0)</f>
        <v>Digital Multimeter</v>
      </c>
      <c r="C19" s="109"/>
      <c r="D19" s="109"/>
      <c r="E19" s="37"/>
      <c r="F19" s="47">
        <f ca="1">RANDBETWEEN(20,40)</f>
        <v>21</v>
      </c>
      <c r="G19" s="51" t="s">
        <v>436</v>
      </c>
      <c r="H19" s="59">
        <f ca="1">RANDBETWEEN(100,400)</f>
        <v>108</v>
      </c>
      <c r="I19" s="77">
        <f ca="1">F19*H19</f>
        <v>2268</v>
      </c>
    </row>
    <row r="20" spans="2:9" ht="40" customHeight="1" x14ac:dyDescent="0.25">
      <c r="B20" s="91" t="str">
        <f ca="1">VLOOKUP(B8,aa,7,0)</f>
        <v>Measures voltage, current, resistance</v>
      </c>
      <c r="C20" s="92"/>
      <c r="D20" s="92"/>
      <c r="E20" s="93"/>
      <c r="F20" s="47"/>
      <c r="G20" s="52"/>
      <c r="H20" s="59"/>
      <c r="I20" s="77"/>
    </row>
    <row r="21" spans="2:9" ht="21" customHeight="1" x14ac:dyDescent="0.25">
      <c r="B21" s="108" t="str">
        <f ca="1">VLOOKUP(B8,aa,8,0)</f>
        <v>Electric Water Boiler</v>
      </c>
      <c r="C21" s="109"/>
      <c r="D21" s="109"/>
      <c r="E21" s="37"/>
      <c r="F21" s="47">
        <f ca="1">RANDBETWEEN(20,40)</f>
        <v>28</v>
      </c>
      <c r="G21" s="51" t="s">
        <v>436</v>
      </c>
      <c r="H21" s="59">
        <f ca="1">RANDBETWEEN(100,400)</f>
        <v>384</v>
      </c>
      <c r="I21" s="77">
        <f ca="1">F21*H21</f>
        <v>10752</v>
      </c>
    </row>
    <row r="22" spans="2:9" ht="37.5" customHeight="1" x14ac:dyDescent="0.25">
      <c r="B22" s="91" t="str">
        <f ca="1">VLOOKUP(B8,aa,9,0)</f>
        <v>Quickly boils large volumes of water</v>
      </c>
      <c r="C22" s="92"/>
      <c r="D22" s="92"/>
      <c r="E22" s="37"/>
      <c r="F22" s="47"/>
      <c r="G22" s="52"/>
      <c r="H22" s="59"/>
      <c r="I22" s="77"/>
    </row>
    <row r="23" spans="2:9" ht="21" customHeight="1" x14ac:dyDescent="0.25">
      <c r="B23" s="108" t="str">
        <f ca="1">VLOOKUP(B8,aa,10,0)</f>
        <v>Smart Doorbell</v>
      </c>
      <c r="C23" s="109"/>
      <c r="D23" s="109"/>
      <c r="E23" s="37"/>
      <c r="F23" s="47">
        <f ca="1">RANDBETWEEN(20,40)</f>
        <v>22</v>
      </c>
      <c r="G23" s="51" t="s">
        <v>436</v>
      </c>
      <c r="H23" s="59">
        <f ca="1">RANDBETWEEN(100,400)</f>
        <v>326</v>
      </c>
      <c r="I23" s="77">
        <f ca="1">F23*H23</f>
        <v>7172</v>
      </c>
    </row>
    <row r="24" spans="2:9" ht="37" customHeight="1" x14ac:dyDescent="0.25">
      <c r="B24" s="91" t="str">
        <f ca="1">VLOOKUP(B8,aa,11,0)</f>
        <v>Wi-Fi-enabled doorbell with camera and intercom</v>
      </c>
      <c r="C24" s="92"/>
      <c r="D24" s="92"/>
      <c r="E24" s="37"/>
      <c r="F24" s="47"/>
      <c r="G24" s="52"/>
      <c r="H24" s="59"/>
      <c r="I24" s="77"/>
    </row>
    <row r="25" spans="2:9" ht="21" customHeight="1" x14ac:dyDescent="0.25">
      <c r="B25" s="108" t="str">
        <f ca="1">VLOOKUP(B8,aa,12,0)</f>
        <v>Smart Air Conditioner</v>
      </c>
      <c r="C25" s="109"/>
      <c r="D25" s="109"/>
      <c r="E25" s="37"/>
      <c r="F25" s="47">
        <f ca="1">RANDBETWEEN(20,40)</f>
        <v>34</v>
      </c>
      <c r="G25" s="51" t="s">
        <v>436</v>
      </c>
      <c r="H25" s="59">
        <f ca="1">RANDBETWEEN(100,400)</f>
        <v>146</v>
      </c>
      <c r="I25" s="77">
        <f ca="1">F25*H25</f>
        <v>4964</v>
      </c>
    </row>
    <row r="26" spans="2:9" ht="35.5" customHeight="1" x14ac:dyDescent="0.25">
      <c r="B26" s="91" t="str">
        <f ca="1">VLOOKUP(B8,aa,13,0)</f>
        <v>AC unit controllable via smartphone or voice</v>
      </c>
      <c r="C26" s="92"/>
      <c r="D26" s="92"/>
      <c r="E26" s="93"/>
      <c r="F26" s="47"/>
      <c r="G26" s="52"/>
      <c r="H26" s="59"/>
      <c r="I26" s="77"/>
    </row>
    <row r="27" spans="2:9" ht="21" customHeight="1" x14ac:dyDescent="0.25">
      <c r="B27" s="108" t="str">
        <f ca="1">VLOOKUP(B8,aa,14,0)</f>
        <v>Smart Rearview Mirror</v>
      </c>
      <c r="C27" s="109"/>
      <c r="D27" s="109"/>
      <c r="E27" s="37"/>
      <c r="F27" s="47">
        <f ca="1">RANDBETWEEN(20,40)</f>
        <v>31</v>
      </c>
      <c r="G27" s="51" t="s">
        <v>436</v>
      </c>
      <c r="H27" s="59">
        <f ca="1">RANDBETWEEN(100,400)</f>
        <v>324</v>
      </c>
      <c r="I27" s="77">
        <f ca="1">F27*H27</f>
        <v>10044</v>
      </c>
    </row>
    <row r="28" spans="2:9" ht="35.15" customHeight="1" x14ac:dyDescent="0.25">
      <c r="B28" s="91" t="str">
        <f ca="1">VLOOKUP(B8,aa,15,0)</f>
        <v>Touchscreen mirror with GPS and camera</v>
      </c>
      <c r="C28" s="92"/>
      <c r="D28" s="92"/>
      <c r="E28" s="37"/>
      <c r="F28" s="47"/>
      <c r="G28" s="52"/>
      <c r="H28" s="59"/>
      <c r="I28" s="77"/>
    </row>
    <row r="29" spans="2:9" ht="21" customHeight="1" x14ac:dyDescent="0.25">
      <c r="B29" s="108" t="str">
        <f ca="1">VLOOKUP(B8,aa,16,0)</f>
        <v>Smart IR Remote</v>
      </c>
      <c r="C29" s="109"/>
      <c r="D29" s="109"/>
      <c r="E29" s="37"/>
      <c r="F29" s="47">
        <f ca="1">RANDBETWEEN(20,40)</f>
        <v>27</v>
      </c>
      <c r="G29" s="51" t="s">
        <v>436</v>
      </c>
      <c r="H29" s="59">
        <f ca="1">RANDBETWEEN(100,400)</f>
        <v>101</v>
      </c>
      <c r="I29" s="77">
        <f ca="1">F29*H29</f>
        <v>2727</v>
      </c>
    </row>
    <row r="30" spans="2:9" ht="38.15" customHeight="1" x14ac:dyDescent="0.25">
      <c r="B30" s="91" t="str">
        <f ca="1">VLOOKUP(B8,aa,17,0)</f>
        <v>Controls appliances via smartphone</v>
      </c>
      <c r="C30" s="92"/>
      <c r="D30" s="92"/>
      <c r="E30" s="37"/>
      <c r="F30" s="47"/>
      <c r="G30" s="52"/>
      <c r="H30" s="59"/>
      <c r="I30" s="77"/>
    </row>
    <row r="31" spans="2:9" ht="21" customHeight="1" x14ac:dyDescent="0.25">
      <c r="B31" s="108" t="str">
        <f ca="1">VLOOKUP(B8,aa,18,0)</f>
        <v>Electric Nail File Kit</v>
      </c>
      <c r="C31" s="109"/>
      <c r="D31" s="109"/>
      <c r="E31" s="37"/>
      <c r="F31" s="47">
        <f ca="1">RANDBETWEEN(20,40)</f>
        <v>25</v>
      </c>
      <c r="G31" s="51" t="s">
        <v>436</v>
      </c>
      <c r="H31" s="59">
        <f ca="1">RANDBETWEEN(100,400)</f>
        <v>102</v>
      </c>
      <c r="I31" s="77">
        <f ca="1">F31*H31</f>
        <v>2550</v>
      </c>
    </row>
    <row r="32" spans="2:9" ht="35.15" customHeight="1" x14ac:dyDescent="0.25">
      <c r="B32" s="91" t="str">
        <f ca="1">VLOOKUP(B8,aa,19,0)</f>
        <v>For manicure and pedicure at home</v>
      </c>
      <c r="C32" s="92"/>
      <c r="D32" s="92"/>
      <c r="E32" s="37"/>
      <c r="F32" s="47"/>
      <c r="G32" s="52"/>
      <c r="H32" s="59"/>
      <c r="I32" s="77"/>
    </row>
    <row r="33" spans="2:9" ht="21" customHeight="1" x14ac:dyDescent="0.25">
      <c r="B33" s="108" t="str">
        <f ca="1">VLOOKUP(B8,aa,20,0)</f>
        <v>Pedestal Fan</v>
      </c>
      <c r="C33" s="109"/>
      <c r="D33" s="109"/>
      <c r="E33" s="37"/>
      <c r="F33" s="47">
        <f ca="1">RANDBETWEEN(20,40)</f>
        <v>21</v>
      </c>
      <c r="G33" s="51" t="s">
        <v>436</v>
      </c>
      <c r="H33" s="59">
        <f ca="1">RANDBETWEEN(100,400)</f>
        <v>260</v>
      </c>
      <c r="I33" s="77">
        <f ca="1">F33*H33</f>
        <v>5460</v>
      </c>
    </row>
    <row r="34" spans="2:9" ht="38.15" customHeight="1" x14ac:dyDescent="0.25">
      <c r="B34" s="91" t="str">
        <f ca="1">VLOOKUP(B8,aa,21,0)</f>
        <v>Adjustable stand fan for personal cooling</v>
      </c>
      <c r="C34" s="92"/>
      <c r="D34" s="92"/>
      <c r="E34" s="37"/>
      <c r="F34" s="47"/>
      <c r="G34" s="52"/>
      <c r="H34" s="59"/>
      <c r="I34" s="77"/>
    </row>
    <row r="35" spans="2:9" ht="21" customHeight="1" x14ac:dyDescent="0.25">
      <c r="B35" s="108" t="str">
        <f ca="1">VLOOKUP(B8,aa,22,0)</f>
        <v>Digital Multimeter</v>
      </c>
      <c r="C35" s="109"/>
      <c r="D35" s="109"/>
      <c r="E35" s="37"/>
      <c r="F35" s="47">
        <f ca="1">RANDBETWEEN(20,40)</f>
        <v>39</v>
      </c>
      <c r="G35" s="51" t="s">
        <v>436</v>
      </c>
      <c r="H35" s="59">
        <f ca="1">RANDBETWEEN(100,400)</f>
        <v>377</v>
      </c>
      <c r="I35" s="77">
        <f ca="1">F35*H35</f>
        <v>14703</v>
      </c>
    </row>
    <row r="36" spans="2:9" ht="47.15" customHeight="1" x14ac:dyDescent="0.25">
      <c r="B36" s="126" t="str">
        <f ca="1">VLOOKUP(B8,aa,23,0)</f>
        <v>Measures voltage, current, resistance</v>
      </c>
      <c r="C36" s="127"/>
      <c r="D36" s="127"/>
      <c r="E36" s="78"/>
      <c r="F36" s="79"/>
      <c r="G36" s="80"/>
      <c r="H36" s="81"/>
      <c r="I36" s="82"/>
    </row>
    <row r="37" spans="2:9" x14ac:dyDescent="0.3">
      <c r="I37" s="87"/>
    </row>
    <row r="38" spans="2:9" x14ac:dyDescent="0.3">
      <c r="I38" s="87"/>
    </row>
    <row r="39" spans="2:9" ht="30" customHeight="1" x14ac:dyDescent="0.3">
      <c r="B39" s="88"/>
      <c r="C39" s="142"/>
      <c r="D39" s="142"/>
      <c r="E39" s="89"/>
      <c r="F39" s="89"/>
      <c r="G39" s="89"/>
      <c r="H39" s="89"/>
      <c r="I39" s="90"/>
    </row>
    <row r="40" spans="2:9" ht="18.649999999999999" customHeight="1" x14ac:dyDescent="0.3">
      <c r="B40" s="85"/>
      <c r="C40" s="3"/>
      <c r="D40" s="4"/>
      <c r="E40" s="4"/>
      <c r="F40" s="4"/>
      <c r="G40" s="4"/>
      <c r="H40" s="86" t="s">
        <v>446</v>
      </c>
      <c r="I40" s="9" t="str">
        <f ca="1">CONCATENATE("24", CHAR(RANDBETWEEN(65,90)), CHAR(RANDBETWEEN(65,90)), CHAR(RANDBETWEEN(65,90)), CHAR(RANDBETWEEN(65,90)), CHAR(RANDBETWEEN(65,90)), TEXT(RANDBETWEEN(1000,9999), "0000"), CHAR(RANDBETWEEN(65,90)), "1Z", CHAR(RANDBETWEEN(48,57)))</f>
        <v>24YPKKV9896N1Z9</v>
      </c>
    </row>
    <row r="41" spans="2:9" ht="18.649999999999999" customHeight="1" x14ac:dyDescent="0.3">
      <c r="B41" s="8"/>
      <c r="C41" s="58" t="s">
        <v>426</v>
      </c>
      <c r="D41" s="4"/>
      <c r="E41" s="4"/>
      <c r="F41" s="4"/>
      <c r="G41" s="4"/>
      <c r="H41" s="67" t="s">
        <v>445</v>
      </c>
      <c r="I41" s="9">
        <f ca="1">RANDBETWEEN(7456478292, 9999990099)</f>
        <v>9268343177</v>
      </c>
    </row>
    <row r="42" spans="2:9" ht="18.649999999999999" customHeight="1" x14ac:dyDescent="0.3">
      <c r="B42" s="8"/>
      <c r="C42" s="98" t="s">
        <v>447</v>
      </c>
      <c r="D42" s="99"/>
      <c r="E42" s="99"/>
      <c r="F42" s="3"/>
      <c r="G42" s="4"/>
      <c r="H42" s="68" t="s">
        <v>444</v>
      </c>
      <c r="I42" s="9" t="str">
        <f ca="1">CONCATENATE(CHAR(RANDBETWEEN(65,90)), CHAR(RANDBETWEEN(65,90)), CHAR(RANDBETWEEN(65,90)), CHAR(RANDBETWEEN(65,90)), CHAR(RANDBETWEEN(65,90)), TEXT(RANDBETWEEN(1000,9999), "0000"), CHAR(RANDBETWEEN(65,90)))</f>
        <v>FXJKQ8859M</v>
      </c>
    </row>
    <row r="43" spans="2:9" ht="18.649999999999999" customHeight="1" thickBot="1" x14ac:dyDescent="0.35">
      <c r="B43" s="10"/>
      <c r="C43" s="12"/>
      <c r="D43" s="11"/>
      <c r="E43" s="11"/>
      <c r="F43" s="11"/>
      <c r="G43" s="11"/>
      <c r="H43" s="57" t="s">
        <v>450</v>
      </c>
      <c r="I43" s="54" t="s">
        <v>443</v>
      </c>
    </row>
    <row r="44" spans="2:9" ht="18.649999999999999" customHeight="1" x14ac:dyDescent="0.3">
      <c r="B44" s="17" t="s">
        <v>427</v>
      </c>
      <c r="C44" s="18" t="s">
        <v>428</v>
      </c>
      <c r="D44" s="100" t="s">
        <v>429</v>
      </c>
      <c r="E44" s="100"/>
      <c r="F44" s="18"/>
      <c r="G44" s="18" t="s">
        <v>430</v>
      </c>
      <c r="H44" s="27" t="s">
        <v>431</v>
      </c>
      <c r="I44" s="19" t="s">
        <v>433</v>
      </c>
    </row>
    <row r="45" spans="2:9" ht="16.5" customHeight="1" thickBot="1" x14ac:dyDescent="0.35">
      <c r="B45" s="23">
        <v>101</v>
      </c>
      <c r="C45" s="20">
        <v>45793</v>
      </c>
      <c r="D45" s="107" t="s">
        <v>442</v>
      </c>
      <c r="E45" s="107"/>
      <c r="F45" s="21"/>
      <c r="G45" s="21" t="s">
        <v>434</v>
      </c>
      <c r="H45" s="53" t="s">
        <v>432</v>
      </c>
      <c r="I45" s="24">
        <v>222333444555</v>
      </c>
    </row>
    <row r="46" spans="2:9" ht="15.65" customHeight="1" x14ac:dyDescent="0.3">
      <c r="B46" s="44" t="s">
        <v>435</v>
      </c>
      <c r="C46" s="25"/>
      <c r="D46" s="13"/>
      <c r="E46" s="13"/>
      <c r="F46" s="13"/>
      <c r="G46" s="13"/>
      <c r="H46" s="13"/>
      <c r="I46" s="26"/>
    </row>
    <row r="47" spans="2:9" ht="15.65" customHeight="1" x14ac:dyDescent="0.3">
      <c r="B47" s="101" t="str">
        <f>VLOOKUP(B45,aa,2,0)</f>
        <v>Aarav Pvt ltd</v>
      </c>
      <c r="C47" s="102"/>
      <c r="D47" s="102"/>
      <c r="E47" s="21"/>
      <c r="F47" s="21"/>
      <c r="G47" s="21"/>
      <c r="H47" s="21"/>
      <c r="I47" s="24"/>
    </row>
    <row r="48" spans="2:9" ht="15.65" customHeight="1" x14ac:dyDescent="0.3">
      <c r="B48" s="103" t="str">
        <f>VLOOKUP(B45,aa,3,0)</f>
        <v>123 MG Road, Bengaluru, Karnataka, 560001</v>
      </c>
      <c r="C48" s="104"/>
      <c r="D48" s="104"/>
      <c r="E48" s="55"/>
      <c r="F48" s="21"/>
      <c r="G48" s="21"/>
      <c r="H48" s="21"/>
      <c r="I48" s="24"/>
    </row>
    <row r="49" spans="2:9" ht="15.65" customHeight="1" x14ac:dyDescent="0.3">
      <c r="B49" s="105" t="str">
        <f ca="1">"GSTIN  "&amp;CONCATENATE("24", CHAR(RANDBETWEEN(65,90)), CHAR(RANDBETWEEN(65,90)), CHAR(RANDBETWEEN(65,90)), CHAR(RANDBETWEEN(65,90)), CHAR(RANDBETWEEN(65,90)), TEXT(RANDBETWEEN(1000,9999), "0000"), CHAR(RANDBETWEEN(65,90)), "1Z", CHAR(RANDBETWEEN(48,57)))</f>
        <v>GSTIN  24LYXLY1302R1Z4</v>
      </c>
      <c r="C49" s="106"/>
      <c r="D49" s="21"/>
      <c r="E49" s="21"/>
      <c r="F49" s="21"/>
      <c r="G49" s="21"/>
      <c r="H49" s="21"/>
      <c r="I49" s="24"/>
    </row>
    <row r="50" spans="2:9" ht="15.65" customHeight="1" x14ac:dyDescent="0.3">
      <c r="B50" s="105">
        <v>866595758</v>
      </c>
      <c r="C50" s="106"/>
      <c r="D50" s="21"/>
      <c r="E50" s="21"/>
      <c r="F50" s="21"/>
      <c r="G50" s="21"/>
      <c r="H50" s="21"/>
      <c r="I50" s="24"/>
    </row>
    <row r="51" spans="2:9" ht="15.65" customHeight="1" x14ac:dyDescent="0.3">
      <c r="B51" s="105" t="str">
        <f ca="1">"PAN Number: "&amp;  CONCATENATE(CHAR(RANDBETWEEN(65,90)), CHAR(RANDBETWEEN(65,90)), CHAR(RANDBETWEEN(65,90)), CHAR(RANDBETWEEN(65,90)), CHAR(RANDBETWEEN(65,90)), TEXT(RANDBETWEEN(1000,9999), "0000"), CHAR(RANDBETWEEN(65,90)))</f>
        <v>PAN Number: TOFTJ9643N</v>
      </c>
      <c r="C51" s="106"/>
      <c r="D51" s="21"/>
      <c r="E51" s="21"/>
      <c r="F51" s="21"/>
      <c r="G51" s="21"/>
      <c r="H51" s="21"/>
      <c r="I51" s="24"/>
    </row>
    <row r="52" spans="2:9" ht="15.65" customHeight="1" x14ac:dyDescent="0.3">
      <c r="B52" s="8"/>
      <c r="C52" s="4"/>
      <c r="D52" s="21"/>
      <c r="E52" s="21"/>
      <c r="F52" s="21"/>
      <c r="G52" s="21"/>
      <c r="H52" s="21"/>
      <c r="I52" s="24"/>
    </row>
    <row r="53" spans="2:9" ht="45" customHeight="1" x14ac:dyDescent="0.3">
      <c r="B53" s="143" t="s">
        <v>1</v>
      </c>
      <c r="C53" s="144"/>
      <c r="D53" s="144"/>
      <c r="E53" s="144"/>
      <c r="F53" s="145" t="s">
        <v>2</v>
      </c>
      <c r="G53" s="146"/>
      <c r="H53" s="69" t="s">
        <v>3</v>
      </c>
      <c r="I53" s="70" t="s">
        <v>4</v>
      </c>
    </row>
    <row r="54" spans="2:9" ht="21" customHeight="1" x14ac:dyDescent="0.25">
      <c r="B54" s="116" t="str">
        <f ca="1">VLOOKUP(B8,aa,24,0)</f>
        <v>UV Sterilizer Box</v>
      </c>
      <c r="C54" s="109"/>
      <c r="D54" s="109"/>
      <c r="E54" s="37"/>
      <c r="F54" s="47">
        <f ca="1">RANDBETWEEN(20,40)</f>
        <v>21</v>
      </c>
      <c r="G54" s="51" t="s">
        <v>436</v>
      </c>
      <c r="H54" s="59">
        <f ca="1">RANDBETWEEN(100,400)</f>
        <v>367</v>
      </c>
      <c r="I54" s="60">
        <f ca="1">F54*H54</f>
        <v>7707</v>
      </c>
    </row>
    <row r="55" spans="2:9" ht="25" customHeight="1" x14ac:dyDescent="0.25">
      <c r="B55" s="117" t="str">
        <f ca="1">VLOOKUP(B8,aa,25,0)</f>
        <v>Disinfects small items using UV light</v>
      </c>
      <c r="C55" s="92"/>
      <c r="D55" s="92"/>
      <c r="E55" s="37"/>
      <c r="F55" s="47"/>
      <c r="G55" s="52"/>
      <c r="H55" s="59"/>
      <c r="I55" s="60"/>
    </row>
    <row r="56" spans="2:9" ht="21" customHeight="1" x14ac:dyDescent="0.25">
      <c r="B56" s="116" t="str">
        <f ca="1">VLOOKUP(B8,aa,30,0)</f>
        <v>Bluetooth Alarm Clock</v>
      </c>
      <c r="C56" s="109"/>
      <c r="D56" s="109"/>
      <c r="E56" s="37"/>
      <c r="F56" s="47">
        <f ca="1">RANDBETWEEN(20,40)</f>
        <v>35</v>
      </c>
      <c r="G56" s="51" t="s">
        <v>436</v>
      </c>
      <c r="H56" s="59">
        <f ca="1">RANDBETWEEN(100,400)</f>
        <v>283</v>
      </c>
      <c r="I56" s="60">
        <f ca="1">F56*H56</f>
        <v>9905</v>
      </c>
    </row>
    <row r="57" spans="2:9" ht="28" customHeight="1" x14ac:dyDescent="0.25">
      <c r="B57" s="117" t="str">
        <f ca="1">VLOOKUP(B8,aa,31,0)</f>
        <v>Combines alarm with Bluetooth speaker</v>
      </c>
      <c r="C57" s="92"/>
      <c r="D57" s="92"/>
      <c r="E57" s="37"/>
      <c r="F57" s="47"/>
      <c r="G57" s="52"/>
      <c r="H57" s="59"/>
      <c r="I57" s="60"/>
    </row>
    <row r="58" spans="2:9" ht="21" customHeight="1" x14ac:dyDescent="0.25">
      <c r="B58" s="116" t="str">
        <f ca="1">VLOOKUP(B8,aa,32,0)</f>
        <v>Heated Eyelash Curler</v>
      </c>
      <c r="C58" s="109"/>
      <c r="D58" s="109"/>
      <c r="E58" s="37"/>
      <c r="F58" s="47">
        <f ca="1">RANDBETWEEN(20,40)</f>
        <v>37</v>
      </c>
      <c r="G58" s="51" t="s">
        <v>436</v>
      </c>
      <c r="H58" s="59">
        <f ca="1">RANDBETWEEN(100,400)</f>
        <v>188</v>
      </c>
      <c r="I58" s="60">
        <f ca="1">F58*H58</f>
        <v>6956</v>
      </c>
    </row>
    <row r="59" spans="2:9" ht="27.65" customHeight="1" x14ac:dyDescent="0.25">
      <c r="B59" s="117" t="str">
        <f ca="1">VLOOKUP(B8,aa,33,0)</f>
        <v>Shapes eyelashes with gentle heat</v>
      </c>
      <c r="C59" s="92"/>
      <c r="D59" s="92"/>
      <c r="E59" s="37"/>
      <c r="F59" s="47"/>
      <c r="G59" s="52"/>
      <c r="H59" s="59"/>
      <c r="I59" s="60"/>
    </row>
    <row r="60" spans="2:9" ht="21" customHeight="1" x14ac:dyDescent="0.25">
      <c r="B60" s="116" t="str">
        <f ca="1">VLOOKUP(B8,aa,34,0)</f>
        <v>HDMI Cable</v>
      </c>
      <c r="C60" s="109"/>
      <c r="D60" s="109"/>
      <c r="E60" s="37"/>
      <c r="F60" s="47">
        <f ca="1">RANDBETWEEN(20,40)</f>
        <v>32</v>
      </c>
      <c r="G60" s="51" t="s">
        <v>436</v>
      </c>
      <c r="H60" s="59">
        <f ca="1">RANDBETWEEN(100,400)</f>
        <v>335</v>
      </c>
      <c r="I60" s="60">
        <f ca="1">F60*H60</f>
        <v>10720</v>
      </c>
    </row>
    <row r="61" spans="2:9" ht="29.15" customHeight="1" x14ac:dyDescent="0.25">
      <c r="B61" s="117" t="str">
        <f ca="1">VLOOKUP(B8,aa,35,0)</f>
        <v>Transfers audio/video signals</v>
      </c>
      <c r="C61" s="92"/>
      <c r="D61" s="92"/>
      <c r="E61" s="37"/>
      <c r="F61" s="47"/>
      <c r="G61" s="52"/>
      <c r="H61" s="59"/>
      <c r="I61" s="60"/>
    </row>
    <row r="62" spans="2:9" ht="21" customHeight="1" x14ac:dyDescent="0.25">
      <c r="B62" s="116" t="str">
        <f ca="1">VLOOKUP(B8,aa,36,0)</f>
        <v>Rechargeable Torch</v>
      </c>
      <c r="C62" s="109"/>
      <c r="D62" s="109"/>
      <c r="E62" s="37"/>
      <c r="F62" s="47">
        <f ca="1">RANDBETWEEN(20,40)</f>
        <v>33</v>
      </c>
      <c r="G62" s="51" t="s">
        <v>436</v>
      </c>
      <c r="H62" s="59">
        <f ca="1">RANDBETWEEN(100,400)</f>
        <v>133</v>
      </c>
      <c r="I62" s="60">
        <f ca="1">F62*H62</f>
        <v>4389</v>
      </c>
    </row>
    <row r="63" spans="2:9" ht="26.5" customHeight="1" x14ac:dyDescent="0.25">
      <c r="B63" s="117" t="str">
        <f ca="1">VLOOKUP(B8,aa,37,0)</f>
        <v>Flashlight that can be recharged</v>
      </c>
      <c r="C63" s="92"/>
      <c r="D63" s="92"/>
      <c r="E63" s="37"/>
      <c r="F63" s="47"/>
      <c r="G63" s="52"/>
      <c r="H63" s="59"/>
      <c r="I63" s="60"/>
    </row>
    <row r="64" spans="2:9" ht="21" customHeight="1" x14ac:dyDescent="0.25">
      <c r="B64" s="116" t="str">
        <f ca="1">VLOOKUP(B8,aa,38,0)</f>
        <v>Smart Mosquito Repeller</v>
      </c>
      <c r="C64" s="109"/>
      <c r="D64" s="109"/>
      <c r="E64" s="37"/>
      <c r="F64" s="47">
        <f ca="1">RANDBETWEEN(20,40)</f>
        <v>35</v>
      </c>
      <c r="G64" s="51" t="s">
        <v>436</v>
      </c>
      <c r="H64" s="59">
        <f ca="1">RANDBETWEEN(100,400)</f>
        <v>286</v>
      </c>
      <c r="I64" s="60">
        <f ca="1">F64*H64</f>
        <v>10010</v>
      </c>
    </row>
    <row r="65" spans="2:9" ht="31" customHeight="1" x14ac:dyDescent="0.25">
      <c r="B65" s="117" t="str">
        <f ca="1">VLOOKUP(B8,aa,39,0)</f>
        <v>USB-powered electronic insect repeller</v>
      </c>
      <c r="C65" s="92"/>
      <c r="D65" s="92"/>
      <c r="E65" s="37"/>
      <c r="F65" s="47"/>
      <c r="G65" s="52"/>
      <c r="H65" s="59"/>
      <c r="I65" s="60"/>
    </row>
    <row r="66" spans="2:9" ht="21" customHeight="1" x14ac:dyDescent="0.25">
      <c r="B66" s="116" t="str">
        <f ca="1">VLOOKUP(B8,aa,40,0)</f>
        <v>LED Strip with Remote</v>
      </c>
      <c r="C66" s="109"/>
      <c r="D66" s="109"/>
      <c r="E66" s="37"/>
      <c r="F66" s="47">
        <f ca="1">RANDBETWEEN(20,40)</f>
        <v>33</v>
      </c>
      <c r="G66" s="51" t="s">
        <v>436</v>
      </c>
      <c r="H66" s="59">
        <f ca="1">RANDBETWEEN(100,400)</f>
        <v>299</v>
      </c>
      <c r="I66" s="60">
        <f ca="1">F66*H66</f>
        <v>9867</v>
      </c>
    </row>
    <row r="67" spans="2:9" ht="23.15" customHeight="1" x14ac:dyDescent="0.25">
      <c r="B67" s="117" t="str">
        <f ca="1">VLOOKUP(B8,aa,41,0)</f>
        <v>Customizable LED lighting with remote control</v>
      </c>
      <c r="C67" s="92"/>
      <c r="D67" s="92"/>
      <c r="E67" s="37"/>
      <c r="F67" s="47"/>
      <c r="G67" s="52"/>
      <c r="H67" s="59"/>
      <c r="I67" s="60"/>
    </row>
    <row r="68" spans="2:9" ht="21" customHeight="1" x14ac:dyDescent="0.25">
      <c r="B68" s="116" t="str">
        <f ca="1">VLOOKUP(B8,aa,42,0)</f>
        <v>Callus Remover</v>
      </c>
      <c r="C68" s="109"/>
      <c r="D68" s="109"/>
      <c r="E68" s="37"/>
      <c r="F68" s="47">
        <f ca="1">RANDBETWEEN(20,40)</f>
        <v>32</v>
      </c>
      <c r="G68" s="51" t="s">
        <v>436</v>
      </c>
      <c r="H68" s="59">
        <f ca="1">RANDBETWEEN(100,400)</f>
        <v>148</v>
      </c>
      <c r="I68" s="60">
        <f ca="1">F68*H68</f>
        <v>4736</v>
      </c>
    </row>
    <row r="69" spans="2:9" ht="21" customHeight="1" x14ac:dyDescent="0.25">
      <c r="B69" s="117" t="str">
        <f ca="1">VLOOKUP(B8,aa,43,0)</f>
        <v>Removes dead skin from feet</v>
      </c>
      <c r="C69" s="92"/>
      <c r="D69" s="92"/>
      <c r="E69" s="37"/>
      <c r="F69" s="47"/>
      <c r="G69" s="52"/>
      <c r="H69" s="49"/>
      <c r="I69" s="50"/>
    </row>
    <row r="70" spans="2:9" ht="73" customHeight="1" thickBot="1" x14ac:dyDescent="0.4">
      <c r="B70" s="118"/>
      <c r="C70" s="119"/>
      <c r="D70" s="119"/>
      <c r="E70" s="65" t="s">
        <v>441</v>
      </c>
      <c r="F70" s="39"/>
      <c r="G70" s="40"/>
      <c r="H70" s="41" t="s">
        <v>5</v>
      </c>
      <c r="I70" s="38">
        <f ca="1">I17+I19+I21+I23+I25+I27+I29+I31+I33+I35+I54+I56+I58+I60+I62+I64+I66+I68*18%</f>
        <v>129334.48</v>
      </c>
    </row>
    <row r="71" spans="2:9" ht="21.25" customHeight="1" thickBot="1" x14ac:dyDescent="0.35">
      <c r="B71" s="42"/>
      <c r="C71" s="43"/>
      <c r="D71" s="43"/>
      <c r="E71" s="61" t="s">
        <v>448</v>
      </c>
      <c r="F71" s="62"/>
      <c r="G71" s="61"/>
      <c r="H71" s="63"/>
      <c r="I71" s="64">
        <f ca="1">ROUND(SUM(I17+I19+I21+I23+I25+I27+I29+I31+I33+I35+I54+I56+I58+I60+I62+I64+I66+I68+I70),0)</f>
        <v>262552</v>
      </c>
    </row>
    <row r="72" spans="2:9" ht="11.9" customHeight="1" thickBot="1" x14ac:dyDescent="0.35">
      <c r="B72" s="4"/>
      <c r="C72" s="4"/>
      <c r="D72" s="4"/>
      <c r="E72" s="4"/>
      <c r="F72" s="4"/>
      <c r="G72" s="4"/>
      <c r="H72" s="4"/>
      <c r="I72" s="4"/>
    </row>
    <row r="73" spans="2:9" ht="14.15" customHeight="1" x14ac:dyDescent="0.3">
      <c r="B73" s="128" t="s">
        <v>437</v>
      </c>
      <c r="C73" s="129"/>
      <c r="D73" s="129"/>
      <c r="E73" s="129"/>
      <c r="F73" s="129"/>
      <c r="G73" s="129"/>
      <c r="H73" s="129"/>
      <c r="I73" s="130"/>
    </row>
    <row r="74" spans="2:9" ht="17.149999999999999" customHeight="1" thickBot="1" x14ac:dyDescent="0.35">
      <c r="B74" s="134" t="str" cm="1">
        <f t="array" aca="1" ref="B74" ca="1">SpellNumber(I71)</f>
        <v xml:space="preserve">INR Two Lakh SixtyTwo Thousand Five Hundred FiftyTwo Only </v>
      </c>
      <c r="C74" s="135"/>
      <c r="D74" s="135"/>
      <c r="E74" s="135"/>
      <c r="F74" s="135"/>
      <c r="G74" s="136"/>
      <c r="H74" s="136"/>
      <c r="I74" s="137"/>
    </row>
    <row r="75" spans="2:9" ht="16.5" customHeight="1" x14ac:dyDescent="0.3">
      <c r="B75" s="29" t="s">
        <v>6</v>
      </c>
      <c r="C75" s="110"/>
      <c r="D75" s="110"/>
      <c r="E75" s="110"/>
      <c r="F75" s="14"/>
      <c r="G75" s="111" t="s">
        <v>7</v>
      </c>
      <c r="H75" s="112"/>
      <c r="I75" s="113"/>
    </row>
    <row r="76" spans="2:9" ht="16.5" customHeight="1" x14ac:dyDescent="0.3">
      <c r="B76" s="30" t="s">
        <v>438</v>
      </c>
      <c r="C76" s="114" t="str">
        <f>B10</f>
        <v>Om Rao Pvt ltd</v>
      </c>
      <c r="D76" s="115"/>
      <c r="E76" s="115"/>
      <c r="F76" s="31"/>
      <c r="G76" s="138" t="s">
        <v>451</v>
      </c>
      <c r="H76" s="139"/>
      <c r="I76" s="140"/>
    </row>
    <row r="77" spans="2:9" ht="16.5" customHeight="1" x14ac:dyDescent="0.3">
      <c r="B77" s="32" t="s">
        <v>439</v>
      </c>
      <c r="C77" s="28" t="s">
        <v>440</v>
      </c>
      <c r="D77" s="28"/>
      <c r="E77" s="28"/>
      <c r="F77" s="31"/>
      <c r="G77" s="141"/>
      <c r="H77" s="139"/>
      <c r="I77" s="140"/>
    </row>
    <row r="78" spans="2:9" ht="16.5" customHeight="1" x14ac:dyDescent="0.3">
      <c r="B78" s="33" t="s">
        <v>8</v>
      </c>
      <c r="C78" s="120">
        <v>37772312543</v>
      </c>
      <c r="D78" s="120"/>
      <c r="E78" s="120"/>
      <c r="F78" s="34"/>
      <c r="G78" s="105"/>
      <c r="H78" s="106"/>
      <c r="I78" s="121"/>
    </row>
    <row r="79" spans="2:9" ht="16.5" customHeight="1" thickBot="1" x14ac:dyDescent="0.35">
      <c r="B79" s="35" t="s">
        <v>9</v>
      </c>
      <c r="C79" s="122" t="s">
        <v>10</v>
      </c>
      <c r="D79" s="122"/>
      <c r="E79" s="122"/>
      <c r="F79" s="36"/>
      <c r="G79" s="123"/>
      <c r="H79" s="124"/>
      <c r="I79" s="125"/>
    </row>
    <row r="80" spans="2:9" x14ac:dyDescent="0.3">
      <c r="I80" s="83" t="s">
        <v>452</v>
      </c>
    </row>
  </sheetData>
  <mergeCells count="69">
    <mergeCell ref="B50:C50"/>
    <mergeCell ref="B51:C51"/>
    <mergeCell ref="B53:E53"/>
    <mergeCell ref="F53:G53"/>
    <mergeCell ref="D44:E44"/>
    <mergeCell ref="D45:E45"/>
    <mergeCell ref="B47:D47"/>
    <mergeCell ref="B48:D48"/>
    <mergeCell ref="B49:C49"/>
    <mergeCell ref="F16:G16"/>
    <mergeCell ref="B16:E16"/>
    <mergeCell ref="B74:I74"/>
    <mergeCell ref="G76:I77"/>
    <mergeCell ref="B23:D23"/>
    <mergeCell ref="B24:D24"/>
    <mergeCell ref="B25:D25"/>
    <mergeCell ref="B27:D27"/>
    <mergeCell ref="B28:D28"/>
    <mergeCell ref="B29:D29"/>
    <mergeCell ref="B30:D30"/>
    <mergeCell ref="B31:D31"/>
    <mergeCell ref="B32:D32"/>
    <mergeCell ref="B21:D21"/>
    <mergeCell ref="C39:D39"/>
    <mergeCell ref="C42:E42"/>
    <mergeCell ref="C78:E78"/>
    <mergeCell ref="G78:I78"/>
    <mergeCell ref="B22:D22"/>
    <mergeCell ref="C79:E79"/>
    <mergeCell ref="G79:I79"/>
    <mergeCell ref="B33:D33"/>
    <mergeCell ref="B34:D34"/>
    <mergeCell ref="B35:D35"/>
    <mergeCell ref="B36:D36"/>
    <mergeCell ref="B54:D54"/>
    <mergeCell ref="B55:D55"/>
    <mergeCell ref="B56:D56"/>
    <mergeCell ref="B57:D57"/>
    <mergeCell ref="B58:D58"/>
    <mergeCell ref="B59:D59"/>
    <mergeCell ref="B73:I73"/>
    <mergeCell ref="C75:E75"/>
    <mergeCell ref="G75:I75"/>
    <mergeCell ref="C76:E76"/>
    <mergeCell ref="B60:D60"/>
    <mergeCell ref="B61:D61"/>
    <mergeCell ref="B62:D62"/>
    <mergeCell ref="B63:D63"/>
    <mergeCell ref="B64:D64"/>
    <mergeCell ref="B65:D65"/>
    <mergeCell ref="B66:D66"/>
    <mergeCell ref="B67:D67"/>
    <mergeCell ref="B68:D68"/>
    <mergeCell ref="B69:D69"/>
    <mergeCell ref="B70:D70"/>
    <mergeCell ref="B18:E18"/>
    <mergeCell ref="B20:E20"/>
    <mergeCell ref="B26:E26"/>
    <mergeCell ref="B17:D17"/>
    <mergeCell ref="C2:D2"/>
    <mergeCell ref="C5:E5"/>
    <mergeCell ref="D7:E7"/>
    <mergeCell ref="B10:D10"/>
    <mergeCell ref="B11:D11"/>
    <mergeCell ref="B14:C14"/>
    <mergeCell ref="B13:C13"/>
    <mergeCell ref="D8:E8"/>
    <mergeCell ref="B12:C12"/>
    <mergeCell ref="B19:D19"/>
  </mergeCells>
  <pageMargins left="0.7" right="0.7" top="0.75" bottom="0.75" header="0.3" footer="0.3"/>
  <pageSetup paperSize="9" scale="73" fitToHeight="0" orientation="portrait" r:id="rId1"/>
  <colBreaks count="1" manualBreakCount="1">
    <brk id="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prtpdf">
                <anchor moveWithCells="1">
                  <from>
                    <xdr:col>12</xdr:col>
                    <xdr:colOff>298450</xdr:colOff>
                    <xdr:row>16</xdr:row>
                    <xdr:rowOff>0</xdr:rowOff>
                  </from>
                  <to>
                    <xdr:col>13</xdr:col>
                    <xdr:colOff>254000</xdr:colOff>
                    <xdr:row>16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Q101"/>
  <sheetViews>
    <sheetView topLeftCell="A76" zoomScale="90" workbookViewId="0">
      <selection activeCell="G3" sqref="G3"/>
    </sheetView>
  </sheetViews>
  <sheetFormatPr defaultColWidth="21.5" defaultRowHeight="20.5" customHeight="1" x14ac:dyDescent="0.3"/>
  <cols>
    <col min="1" max="1" width="7.296875" bestFit="1" customWidth="1"/>
    <col min="7" max="7" width="51.69921875" bestFit="1" customWidth="1"/>
    <col min="23" max="23" width="24.296875" customWidth="1"/>
  </cols>
  <sheetData>
    <row r="1" spans="1:43" ht="20.5" customHeight="1" x14ac:dyDescent="0.3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292</v>
      </c>
      <c r="K1" s="2" t="s">
        <v>293</v>
      </c>
      <c r="L1" s="2" t="s">
        <v>294</v>
      </c>
      <c r="M1" s="2" t="s">
        <v>295</v>
      </c>
      <c r="N1" s="2" t="s">
        <v>296</v>
      </c>
      <c r="O1" s="2" t="s">
        <v>297</v>
      </c>
      <c r="P1" s="2" t="s">
        <v>298</v>
      </c>
      <c r="Q1" s="2" t="s">
        <v>299</v>
      </c>
      <c r="R1" s="2" t="s">
        <v>300</v>
      </c>
      <c r="S1" s="2" t="s">
        <v>301</v>
      </c>
      <c r="T1" s="2" t="s">
        <v>303</v>
      </c>
      <c r="U1" s="2" t="s">
        <v>302</v>
      </c>
      <c r="V1" s="2" t="s">
        <v>304</v>
      </c>
      <c r="W1" s="2" t="s">
        <v>305</v>
      </c>
      <c r="X1" s="2" t="s">
        <v>306</v>
      </c>
      <c r="Y1" s="2" t="s">
        <v>307</v>
      </c>
      <c r="Z1" s="2" t="s">
        <v>308</v>
      </c>
      <c r="AA1" s="2" t="s">
        <v>309</v>
      </c>
      <c r="AB1" s="2" t="s">
        <v>310</v>
      </c>
      <c r="AC1" s="2" t="s">
        <v>311</v>
      </c>
      <c r="AD1" s="2" t="s">
        <v>312</v>
      </c>
      <c r="AE1" s="2" t="s">
        <v>313</v>
      </c>
      <c r="AF1" s="2" t="s">
        <v>314</v>
      </c>
      <c r="AG1" s="2" t="s">
        <v>315</v>
      </c>
      <c r="AH1" s="2" t="s">
        <v>316</v>
      </c>
      <c r="AI1" s="2" t="s">
        <v>317</v>
      </c>
      <c r="AJ1" s="2" t="s">
        <v>418</v>
      </c>
      <c r="AK1" s="2" t="s">
        <v>419</v>
      </c>
      <c r="AL1" s="2" t="s">
        <v>420</v>
      </c>
      <c r="AM1" s="2" t="s">
        <v>421</v>
      </c>
      <c r="AN1" s="2" t="s">
        <v>422</v>
      </c>
      <c r="AO1" s="2" t="s">
        <v>423</v>
      </c>
      <c r="AP1" s="2" t="s">
        <v>424</v>
      </c>
      <c r="AQ1" s="2" t="s">
        <v>425</v>
      </c>
    </row>
    <row r="2" spans="1:43" ht="20.5" customHeight="1" x14ac:dyDescent="0.3">
      <c r="A2" s="22">
        <v>101</v>
      </c>
      <c r="B2" t="s">
        <v>318</v>
      </c>
      <c r="C2" t="s">
        <v>20</v>
      </c>
      <c r="D2" s="1" t="s">
        <v>21</v>
      </c>
      <c r="E2" s="1" t="s">
        <v>22</v>
      </c>
      <c r="F2" t="str" cm="1">
        <f t="array" aca="1" ref="F2" ca="1">INDEX($D$2:$D$101,RANDBETWEEN(1,ROWS(F3:F101)))</f>
        <v>Ultrasonic Skin Cleaner</v>
      </c>
      <c r="G2" t="str">
        <f t="shared" ref="G2:G101" ca="1" si="0">VLOOKUP(F2,oo,2,0)</f>
        <v>Deep cleans skin using ultrasonic waves</v>
      </c>
      <c r="H2" t="str" cm="1">
        <f t="array" aca="1" ref="H2" ca="1">INDEX($D$2:$D$101,RANDBETWEEN(1,ROWS(H3:H101)))</f>
        <v>Motion Sensor Light</v>
      </c>
      <c r="I2" t="str">
        <f t="shared" ref="I2" ca="1" si="1">VLOOKUP(H2,oo,2,0)</f>
        <v>Lights that activate on movement</v>
      </c>
      <c r="J2" t="str" cm="1">
        <f t="array" aca="1" ref="J2" ca="1">INDEX($D$2:$D$101,RANDBETWEEN(1,ROWS(J3:J101)))</f>
        <v>Air Cooler</v>
      </c>
      <c r="K2" t="str">
        <f t="shared" ref="K2" ca="1" si="2">VLOOKUP(J2,oo,2,0)</f>
        <v>Evaporative cooling appliance for rooms</v>
      </c>
      <c r="L2" t="str" cm="1">
        <f t="array" aca="1" ref="L2" ca="1">INDEX($D$2:$D$101,RANDBETWEEN(1,ROWS(L3:L101)))</f>
        <v>Smart Switch</v>
      </c>
      <c r="M2" t="str">
        <f t="shared" ref="M2" ca="1" si="3">VLOOKUP(L2,oo,2,0)</f>
        <v>Wi-Fi-enabled wall switch for remote operation</v>
      </c>
      <c r="N2" t="str" cm="1">
        <f t="array" aca="1" ref="N2" ca="1">INDEX($D$2:$D$101,RANDBETWEEN(1,ROWS(N3:N101)))</f>
        <v>Smart Weighing Scale</v>
      </c>
      <c r="O2" t="str">
        <f t="shared" ref="O2" ca="1" si="4">VLOOKUP(N2,oo,2,0)</f>
        <v>Body scale with app sync and health data</v>
      </c>
      <c r="P2" t="str" cm="1">
        <f t="array" aca="1" ref="P2" ca="1">INDEX($D$2:$D$101,RANDBETWEEN(1,ROWS(P3:P101)))</f>
        <v>Ceiling Light with Fan</v>
      </c>
      <c r="Q2" t="str">
        <f t="shared" ref="Q2" ca="1" si="5">VLOOKUP(P2,oo,2,0)</f>
        <v>Dual-function decorative ceiling light with built-in fan</v>
      </c>
      <c r="R2" t="str" cm="1">
        <f t="array" aca="1" ref="R2" ca="1">INDEX($D$2:$D$101,RANDBETWEEN(1,ROWS(R3:R101)))</f>
        <v>USB-C Docking Station</v>
      </c>
      <c r="S2" t="str">
        <f t="shared" ref="S2" ca="1" si="6">VLOOKUP(R2,oo,2,0)</f>
        <v>Expands ports for laptops</v>
      </c>
      <c r="T2" t="str" cm="1">
        <f t="array" aca="1" ref="T2" ca="1">INDEX($D$2:$D$101,RANDBETWEEN(1,ROWS(T3:T101)))</f>
        <v>Smart Weighing Scale</v>
      </c>
      <c r="U2" t="str">
        <f t="shared" ref="U2" ca="1" si="7">VLOOKUP(T2,oo,2,0)</f>
        <v>Body scale with app sync and health data</v>
      </c>
      <c r="V2" t="str" cm="1">
        <f t="array" aca="1" ref="V2" ca="1">INDEX($D$2:$D$101,RANDBETWEEN(1,ROWS(V3:V101)))</f>
        <v>Car Subwoofer</v>
      </c>
      <c r="W2" t="str">
        <f t="shared" ref="W2" ca="1" si="8">VLOOKUP(V2,oo,2,0)</f>
        <v>Audio upgrade for car music systems</v>
      </c>
      <c r="X2" t="str" cm="1">
        <f t="array" aca="1" ref="X2" ca="1">INDEX($D$2:$D$101,RANDBETWEEN(1,ROWS(X3:X101)))</f>
        <v>Mini Bluetooth Receiver</v>
      </c>
      <c r="Y2" t="str">
        <f t="shared" ref="Y2" ca="1" si="9">VLOOKUP(X2,oo,2,0)</f>
        <v>Adds Bluetooth to non-Bluetooth devices</v>
      </c>
      <c r="Z2" t="str" cm="1">
        <f t="array" aca="1" ref="Z2" ca="1">INDEX($D$2:$D$101,RANDBETWEEN(1,ROWS(Z3:Z101)))</f>
        <v>Pedestal Fan</v>
      </c>
      <c r="AA2" t="str">
        <f t="shared" ref="AA2" ca="1" si="10">VLOOKUP(Z2,oo,2,0)</f>
        <v>Adjustable stand fan for personal cooling</v>
      </c>
      <c r="AB2" t="str" cm="1">
        <f t="array" aca="1" ref="AB2" ca="1">INDEX($D$2:$D$101,RANDBETWEEN(1,ROWS(AB3:AB101)))</f>
        <v>Digital Multimeter</v>
      </c>
      <c r="AC2" t="str">
        <f t="shared" ref="AC2" ca="1" si="11">VLOOKUP(AB2,oo,2,0)</f>
        <v>Measures voltage, current, resistance</v>
      </c>
      <c r="AD2" t="str" cm="1">
        <f t="array" aca="1" ref="AD2" ca="1">INDEX($D$2:$D$101,RANDBETWEEN(1,ROWS(AD3:AD101)))</f>
        <v>Mini Fridge</v>
      </c>
      <c r="AE2" t="str">
        <f t="shared" ref="AE2" ca="1" si="12">VLOOKUP(AD2,oo,2,0)</f>
        <v>Compact refrigerator for beverages</v>
      </c>
      <c r="AF2" t="str" cm="1">
        <f t="array" aca="1" ref="AF2" ca="1">INDEX($D$2:$D$101,RANDBETWEEN(1,ROWS(AF3:AF101)))</f>
        <v>Meat Grinder</v>
      </c>
      <c r="AG2" t="str">
        <f t="shared" ref="AG2" ca="1" si="13">VLOOKUP(AF2,oo,2,0)</f>
        <v>Grinds meat for home cooking</v>
      </c>
      <c r="AH2" t="str" cm="1">
        <f t="array" aca="1" ref="AH2" ca="1">INDEX($D$2:$D$101,RANDBETWEEN(1,ROWS(AH3:AH101)))</f>
        <v>Ultrasonic Humidifier</v>
      </c>
      <c r="AI2" t="str">
        <f t="shared" ref="AI2:AK33" ca="1" si="14">VLOOKUP(AH2,oo,2,0)</f>
        <v>Mist-based humidifier using ultrasonic vibrations</v>
      </c>
      <c r="AJ2" t="str" cm="1">
        <f t="array" aca="1" ref="AJ2" ca="1">INDEX($D$2:$D$101,RANDBETWEEN(1,ROWS(AJ3:AJ101)))</f>
        <v>Water Dispenser</v>
      </c>
      <c r="AK2" t="str">
        <f t="shared" ca="1" si="14"/>
        <v>Dispenses hot and cold water</v>
      </c>
      <c r="AL2" t="str" cm="1">
        <f t="array" aca="1" ref="AL2" ca="1">INDEX($D$2:$D$101,RANDBETWEEN(1,ROWS(AL3:AL101)))</f>
        <v>LED Desk Lamp</v>
      </c>
      <c r="AM2" t="str">
        <f t="shared" ref="AM2" ca="1" si="15">VLOOKUP(AL2,oo,2,0)</f>
        <v>Adjustable desk lamp with LED lighting</v>
      </c>
      <c r="AN2" t="str" cm="1">
        <f t="array" aca="1" ref="AN2" ca="1">INDEX($D$2:$D$101,RANDBETWEEN(1,ROWS(AN3:AN101)))</f>
        <v>Motion Detector</v>
      </c>
      <c r="AO2" t="str">
        <f t="shared" ref="AO2" ca="1" si="16">VLOOKUP(AN2,oo,2,0)</f>
        <v>Triggers alarm or light on motion detection</v>
      </c>
      <c r="AP2" t="str" cm="1">
        <f t="array" aca="1" ref="AP2" ca="1">INDEX($D$2:$D$101,RANDBETWEEN(1,ROWS(AP3:AP101)))</f>
        <v>Indoor Thermometer</v>
      </c>
      <c r="AQ2" t="str">
        <f t="shared" ref="AQ2" ca="1" si="17">VLOOKUP(AP2,oo,2,0)</f>
        <v>Displays indoor temperature</v>
      </c>
    </row>
    <row r="3" spans="1:43" ht="20.5" customHeight="1" x14ac:dyDescent="0.3">
      <c r="A3" s="22">
        <v>102</v>
      </c>
      <c r="B3" t="s">
        <v>319</v>
      </c>
      <c r="C3" t="s">
        <v>23</v>
      </c>
      <c r="D3" s="1" t="s">
        <v>24</v>
      </c>
      <c r="E3" s="1" t="s">
        <v>25</v>
      </c>
      <c r="F3" t="str" cm="1">
        <f t="array" aca="1" ref="F3" ca="1">INDEX($D$2:$D$101,RANDBETWEEN(1,ROWS(F4:F102)))</f>
        <v>Smart Switch</v>
      </c>
      <c r="G3" t="str">
        <f t="shared" ca="1" si="0"/>
        <v>Wi-Fi-enabled wall switch for remote operation</v>
      </c>
      <c r="H3" t="str" cm="1">
        <f t="array" aca="1" ref="H3" ca="1">INDEX($D$2:$D$101,RANDBETWEEN(1,ROWS(H4:H102)))</f>
        <v>Electric Grill</v>
      </c>
      <c r="I3" t="str">
        <f t="shared" ref="I3:I66" ca="1" si="18">VLOOKUP(H3,oo,2,0)</f>
        <v>Indoor grill for meat and vegetables</v>
      </c>
      <c r="J3" t="str" cm="1">
        <f t="array" aca="1" ref="J3" ca="1">INDEX($D$2:$D$101,RANDBETWEEN(1,ROWS(J4:J102)))</f>
        <v>Soundbar</v>
      </c>
      <c r="K3" t="str">
        <f t="shared" ref="K3:K66" ca="1" si="19">VLOOKUP(J3,oo,2,0)</f>
        <v>Compact speaker bar for TVs</v>
      </c>
      <c r="L3" t="str" cm="1">
        <f t="array" aca="1" ref="L3" ca="1">INDEX($D$2:$D$101,RANDBETWEEN(1,ROWS(L4:L102)))</f>
        <v>Electric Nail File Kit</v>
      </c>
      <c r="M3" t="str">
        <f t="shared" ref="M3:M66" ca="1" si="20">VLOOKUP(L3,oo,2,0)</f>
        <v>For manicure and pedicure at home</v>
      </c>
      <c r="N3" t="str" cm="1">
        <f t="array" aca="1" ref="N3" ca="1">INDEX($D$2:$D$101,RANDBETWEEN(1,ROWS(N4:N102)))</f>
        <v>Instant Coffee Machine</v>
      </c>
      <c r="O3" t="str">
        <f t="shared" ref="O3:O66" ca="1" si="21">VLOOKUP(N3,oo,2,0)</f>
        <v>Brews coffee quickly and easily</v>
      </c>
      <c r="P3" t="str" cm="1">
        <f t="array" aca="1" ref="P3" ca="1">INDEX($D$2:$D$101,RANDBETWEEN(1,ROWS(P4:P102)))</f>
        <v>Hair Removal Epilator</v>
      </c>
      <c r="Q3" t="str">
        <f t="shared" ref="Q3:Q66" ca="1" si="22">VLOOKUP(P3,oo,2,0)</f>
        <v>Plucks hair from root electrically</v>
      </c>
      <c r="R3" t="str" cm="1">
        <f t="array" aca="1" ref="R3" ca="1">INDEX($D$2:$D$101,RANDBETWEEN(1,ROWS(R4:R102)))</f>
        <v>LED Desk Lamp</v>
      </c>
      <c r="S3" t="str">
        <f t="shared" ref="S3:S66" ca="1" si="23">VLOOKUP(R3,oo,2,0)</f>
        <v>Adjustable desk lamp with LED lighting</v>
      </c>
      <c r="T3" t="str" cm="1">
        <f t="array" aca="1" ref="T3" ca="1">INDEX($D$2:$D$101,RANDBETWEEN(1,ROWS(T4:T102)))</f>
        <v>Kitchen Weighing Scale</v>
      </c>
      <c r="U3" t="str">
        <f t="shared" ref="U3:U66" ca="1" si="24">VLOOKUP(T3,oo,2,0)</f>
        <v>Measures food portions accurately</v>
      </c>
      <c r="V3" t="str" cm="1">
        <f t="array" aca="1" ref="V3" ca="1">INDEX($D$2:$D$101,RANDBETWEEN(1,ROWS(V4:V102)))</f>
        <v>Portable Power Station</v>
      </c>
      <c r="W3" t="str">
        <f t="shared" ref="W3:W66" ca="1" si="25">VLOOKUP(V3,oo,2,0)</f>
        <v>Rechargeable power supply for outdoors</v>
      </c>
      <c r="X3" t="str" cm="1">
        <f t="array" aca="1" ref="X3" ca="1">INDEX($D$2:$D$101,RANDBETWEEN(1,ROWS(X4:X102)))</f>
        <v>HDMI Switch</v>
      </c>
      <c r="Y3" t="str">
        <f t="shared" ref="Y3:Y66" ca="1" si="26">VLOOKUP(X3,oo,2,0)</f>
        <v>Connects multiple HDMI devices</v>
      </c>
      <c r="Z3" t="str" cm="1">
        <f t="array" aca="1" ref="Z3" ca="1">INDEX($D$2:$D$101,RANDBETWEEN(1,ROWS(Z4:Z102)))</f>
        <v>Smart Refrigerator</v>
      </c>
      <c r="AA3" t="str">
        <f t="shared" ref="AA3:AA66" ca="1" si="27">VLOOKUP(Z3,oo,2,0)</f>
        <v>Internet-connected fridge with touchscreen and smart controls</v>
      </c>
      <c r="AB3" t="str" cm="1">
        <f t="array" aca="1" ref="AB3" ca="1">INDEX($D$2:$D$101,RANDBETWEEN(1,ROWS(AB4:AB102)))</f>
        <v>UV Sterilizer Box</v>
      </c>
      <c r="AC3" t="str">
        <f t="shared" ref="AC3:AC66" ca="1" si="28">VLOOKUP(AB3,oo,2,0)</f>
        <v>Disinfects small items using UV light</v>
      </c>
      <c r="AD3" t="str" cm="1">
        <f t="array" aca="1" ref="AD3" ca="1">INDEX($D$2:$D$101,RANDBETWEEN(1,ROWS(AD4:AD102)))</f>
        <v>Smart Refrigerator</v>
      </c>
      <c r="AE3" t="str">
        <f t="shared" ref="AE3:AE66" ca="1" si="29">VLOOKUP(AD3,oo,2,0)</f>
        <v>Internet-connected fridge with touchscreen and smart controls</v>
      </c>
      <c r="AF3" t="str" cm="1">
        <f t="array" aca="1" ref="AF3" ca="1">INDEX($D$2:$D$101,RANDBETWEEN(1,ROWS(AF4:AF102)))</f>
        <v>Yogurt Maker</v>
      </c>
      <c r="AG3" t="str">
        <f t="shared" ref="AG3:AG66" ca="1" si="30">VLOOKUP(AF3,oo,2,0)</f>
        <v>Home appliance for making yogurt</v>
      </c>
      <c r="AH3" t="str" cm="1">
        <f t="array" aca="1" ref="AH3" ca="1">INDEX($D$2:$D$101,RANDBETWEEN(1,ROWS(AH4:AH102)))</f>
        <v>Automatic Hand Sanitizer</v>
      </c>
      <c r="AI3" t="str">
        <f t="shared" ref="AI3:AI66" ca="1" si="31">VLOOKUP(AH3,oo,2,0)</f>
        <v>Touchless sanitizer dispenser</v>
      </c>
      <c r="AJ3" t="str" cm="1">
        <f t="array" aca="1" ref="AJ3" ca="1">INDEX($D$2:$D$101,RANDBETWEEN(1,ROWS(AJ4:AJ102)))</f>
        <v>HDMI Cable</v>
      </c>
      <c r="AK3" t="str">
        <f t="shared" ca="1" si="14"/>
        <v>Transfers audio/video signals</v>
      </c>
      <c r="AL3" t="str" cm="1">
        <f t="array" aca="1" ref="AL3" ca="1">INDEX($D$2:$D$101,RANDBETWEEN(1,ROWS(AL4:AL102)))</f>
        <v>Portable Air Conditioner</v>
      </c>
      <c r="AM3" t="str">
        <f t="shared" ref="AM3:AM66" ca="1" si="32">VLOOKUP(AL3,oo,2,0)</f>
        <v>Compact AC unit for small spaces</v>
      </c>
      <c r="AN3" t="str" cm="1">
        <f t="array" aca="1" ref="AN3" ca="1">INDEX($D$2:$D$101,RANDBETWEEN(1,ROWS(AN4:AN102)))</f>
        <v>Milk Frother</v>
      </c>
      <c r="AO3" t="str">
        <f t="shared" ref="AO3:AO66" ca="1" si="33">VLOOKUP(AN3,oo,2,0)</f>
        <v>Froths milk for lattes and cappuccinos</v>
      </c>
      <c r="AP3" t="str" cm="1">
        <f t="array" aca="1" ref="AP3" ca="1">INDEX($D$2:$D$101,RANDBETWEEN(1,ROWS(AP4:AP102)))</f>
        <v>UV Sterilizer Box</v>
      </c>
      <c r="AQ3" t="str">
        <f t="shared" ref="AQ3:AQ66" ca="1" si="34">VLOOKUP(AP3,oo,2,0)</f>
        <v>Disinfects small items using UV light</v>
      </c>
    </row>
    <row r="4" spans="1:43" ht="20.5" customHeight="1" x14ac:dyDescent="0.3">
      <c r="A4" s="22">
        <v>103</v>
      </c>
      <c r="B4" t="s">
        <v>320</v>
      </c>
      <c r="C4" t="s">
        <v>26</v>
      </c>
      <c r="D4" s="1" t="s">
        <v>27</v>
      </c>
      <c r="E4" s="1" t="s">
        <v>28</v>
      </c>
      <c r="F4" t="str" cm="1">
        <f t="array" aca="1" ref="F4" ca="1">INDEX($D$2:$D$101,RANDBETWEEN(1,ROWS(F5:F103)))</f>
        <v>Smart Doorbell</v>
      </c>
      <c r="G4" t="str">
        <f t="shared" ca="1" si="0"/>
        <v>Wi-Fi-enabled doorbell with camera and intercom</v>
      </c>
      <c r="H4" t="str" cm="1">
        <f t="array" aca="1" ref="H4" ca="1">INDEX($D$2:$D$101,RANDBETWEEN(1,ROWS(H5:H103)))</f>
        <v>Facial Steamer</v>
      </c>
      <c r="I4" t="str">
        <f t="shared" ca="1" si="18"/>
        <v>Opens pores for skincare routine</v>
      </c>
      <c r="J4" t="str" cm="1">
        <f t="array" aca="1" ref="J4" ca="1">INDEX($D$2:$D$101,RANDBETWEEN(1,ROWS(J5:J103)))</f>
        <v>Portable Power Station</v>
      </c>
      <c r="K4" t="str">
        <f t="shared" ca="1" si="19"/>
        <v>Rechargeable power supply for outdoors</v>
      </c>
      <c r="L4" t="str" cm="1">
        <f t="array" aca="1" ref="L4" ca="1">INDEX($D$2:$D$101,RANDBETWEEN(1,ROWS(L5:L103)))</f>
        <v>TV Wall Mount</v>
      </c>
      <c r="M4" t="str">
        <f t="shared" ca="1" si="20"/>
        <v>Mounting bracket for flat TVs</v>
      </c>
      <c r="N4" t="str" cm="1">
        <f t="array" aca="1" ref="N4" ca="1">INDEX($D$2:$D$101,RANDBETWEEN(1,ROWS(N5:N103)))</f>
        <v>Electric Nail File Kit</v>
      </c>
      <c r="O4" t="str">
        <f t="shared" ca="1" si="21"/>
        <v>For manicure and pedicure at home</v>
      </c>
      <c r="P4" t="str" cm="1">
        <f t="array" aca="1" ref="P4" ca="1">INDEX($D$2:$D$101,RANDBETWEEN(1,ROWS(P5:P103)))</f>
        <v>Plug-in Night Light</v>
      </c>
      <c r="Q4" t="str">
        <f t="shared" ca="1" si="22"/>
        <v>Low-power night light for rooms</v>
      </c>
      <c r="R4" t="str" cm="1">
        <f t="array" aca="1" ref="R4" ca="1">INDEX($D$2:$D$101,RANDBETWEEN(1,ROWS(R5:R103)))</f>
        <v>Hygrometer</v>
      </c>
      <c r="S4" t="str">
        <f t="shared" ca="1" si="23"/>
        <v>Measures indoor humidity levels</v>
      </c>
      <c r="T4" t="str" cm="1">
        <f t="array" aca="1" ref="T4" ca="1">INDEX($D$2:$D$101,RANDBETWEEN(1,ROWS(T5:T103)))</f>
        <v>Inverter AC</v>
      </c>
      <c r="U4" t="str">
        <f t="shared" ca="1" si="24"/>
        <v>Energy-efficient air conditioner</v>
      </c>
      <c r="V4" t="str" cm="1">
        <f t="array" aca="1" ref="V4" ca="1">INDEX($D$2:$D$101,RANDBETWEEN(1,ROWS(V5:V103)))</f>
        <v>Electric Nail File Kit</v>
      </c>
      <c r="W4" t="str">
        <f t="shared" ca="1" si="25"/>
        <v>For manicure and pedicure at home</v>
      </c>
      <c r="X4" t="str" cm="1">
        <f t="array" aca="1" ref="X4" ca="1">INDEX($D$2:$D$101,RANDBETWEEN(1,ROWS(X5:X103)))</f>
        <v>Desktop Air Purifier</v>
      </c>
      <c r="Y4" t="str">
        <f t="shared" ca="1" si="26"/>
        <v>Compact purifier for desks</v>
      </c>
      <c r="Z4" t="str" cm="1">
        <f t="array" aca="1" ref="Z4" ca="1">INDEX($D$2:$D$101,RANDBETWEEN(1,ROWS(Z5:Z103)))</f>
        <v>Crepe Maker</v>
      </c>
      <c r="AA4" t="str">
        <f t="shared" ca="1" si="27"/>
        <v>Electric pan for making crepes</v>
      </c>
      <c r="AB4" t="str" cm="1">
        <f t="array" aca="1" ref="AB4" ca="1">INDEX($D$2:$D$101,RANDBETWEEN(1,ROWS(AB5:AB103)))</f>
        <v>Electric Facial Brush</v>
      </c>
      <c r="AC4" t="str">
        <f t="shared" ca="1" si="28"/>
        <v>Cleansing brush for exfoliation</v>
      </c>
      <c r="AD4" t="str" cm="1">
        <f t="array" aca="1" ref="AD4" ca="1">INDEX($D$2:$D$101,RANDBETWEEN(1,ROWS(AD5:AD103)))</f>
        <v>Laptop Stand</v>
      </c>
      <c r="AE4" t="str">
        <f t="shared" ca="1" si="29"/>
        <v>Raises laptop for ergonomic use</v>
      </c>
      <c r="AF4" t="str" cm="1">
        <f t="array" aca="1" ref="AF4" ca="1">INDEX($D$2:$D$101,RANDBETWEEN(1,ROWS(AF5:AF103)))</f>
        <v>Crepe Maker</v>
      </c>
      <c r="AG4" t="str">
        <f t="shared" ca="1" si="30"/>
        <v>Electric pan for making crepes</v>
      </c>
      <c r="AH4" t="str" cm="1">
        <f t="array" aca="1" ref="AH4" ca="1">INDEX($D$2:$D$101,RANDBETWEEN(1,ROWS(AH5:AH103)))</f>
        <v>DisplayPort Cable</v>
      </c>
      <c r="AI4" t="str">
        <f t="shared" ca="1" si="31"/>
        <v>High-resolution monitor cable</v>
      </c>
      <c r="AJ4" t="str" cm="1">
        <f t="array" aca="1" ref="AJ4" ca="1">INDEX($D$2:$D$101,RANDBETWEEN(1,ROWS(AJ5:AJ103)))</f>
        <v>Smart Ceiling Light</v>
      </c>
      <c r="AK4" t="str">
        <f t="shared" ca="1" si="14"/>
        <v>Wi-Fi-enabled, color-changing ceiling light</v>
      </c>
      <c r="AL4" t="str" cm="1">
        <f t="array" aca="1" ref="AL4" ca="1">INDEX($D$2:$D$101,RANDBETWEEN(1,ROWS(AL5:AL103)))</f>
        <v>Electric Egg Beater</v>
      </c>
      <c r="AM4" t="str">
        <f t="shared" ca="1" si="32"/>
        <v>Handheld electric whisk for baking</v>
      </c>
      <c r="AN4" t="str" cm="1">
        <f t="array" aca="1" ref="AN4" ca="1">INDEX($D$2:$D$101,RANDBETWEEN(1,ROWS(AN5:AN103)))</f>
        <v>Bluetooth Transmitter</v>
      </c>
      <c r="AO4" t="str">
        <f t="shared" ca="1" si="33"/>
        <v>Sends audio to Bluetooth devices</v>
      </c>
      <c r="AP4" t="str" cm="1">
        <f t="array" aca="1" ref="AP4" ca="1">INDEX($D$2:$D$101,RANDBETWEEN(1,ROWS(AP5:AP103)))</f>
        <v>Wall-Mounted Fan</v>
      </c>
      <c r="AQ4" t="str">
        <f t="shared" ca="1" si="34"/>
        <v>Space-saving fan for wall mounting</v>
      </c>
    </row>
    <row r="5" spans="1:43" ht="20.5" customHeight="1" x14ac:dyDescent="0.3">
      <c r="A5" s="22">
        <v>104</v>
      </c>
      <c r="B5" t="s">
        <v>321</v>
      </c>
      <c r="C5" t="s">
        <v>29</v>
      </c>
      <c r="D5" s="1" t="s">
        <v>30</v>
      </c>
      <c r="E5" s="1" t="s">
        <v>31</v>
      </c>
      <c r="F5" t="str" cm="1">
        <f t="array" aca="1" ref="F5" ca="1">INDEX($D$2:$D$101,RANDBETWEEN(1,ROWS(F6:F104)))</f>
        <v>Meat Grinder</v>
      </c>
      <c r="G5" t="str">
        <f t="shared" ca="1" si="0"/>
        <v>Grinds meat for home cooking</v>
      </c>
      <c r="H5" t="str" cm="1">
        <f t="array" aca="1" ref="H5" ca="1">INDEX($D$2:$D$101,RANDBETWEEN(1,ROWS(H6:H104)))</f>
        <v>Emergency Solar Light</v>
      </c>
      <c r="I5" t="str">
        <f t="shared" ca="1" si="18"/>
        <v>Solar-powered backup light</v>
      </c>
      <c r="J5" t="str" cm="1">
        <f t="array" aca="1" ref="J5" ca="1">INDEX($D$2:$D$101,RANDBETWEEN(1,ROWS(J6:J104)))</f>
        <v>Robot Vacuum Cleaner</v>
      </c>
      <c r="K5" t="str">
        <f t="shared" ca="1" si="19"/>
        <v>Automated floor cleaning device</v>
      </c>
      <c r="L5" t="str" cm="1">
        <f t="array" aca="1" ref="L5" ca="1">INDEX($D$2:$D$101,RANDBETWEEN(1,ROWS(L6:L104)))</f>
        <v>Dashcam Rear Camera</v>
      </c>
      <c r="M5" t="str">
        <f t="shared" ca="1" si="20"/>
        <v>Rear view recording for vehicles</v>
      </c>
      <c r="N5" t="str" cm="1">
        <f t="array" aca="1" ref="N5" ca="1">INDEX($D$2:$D$101,RANDBETWEEN(1,ROWS(N6:N104)))</f>
        <v>Smart IR Remote</v>
      </c>
      <c r="O5" t="str">
        <f t="shared" ca="1" si="21"/>
        <v>Controls appliances via smartphone</v>
      </c>
      <c r="P5" t="str" cm="1">
        <f t="array" aca="1" ref="P5" ca="1">INDEX($D$2:$D$101,RANDBETWEEN(1,ROWS(P6:P104)))</f>
        <v>Car Subwoofer</v>
      </c>
      <c r="Q5" t="str">
        <f t="shared" ca="1" si="22"/>
        <v>Audio upgrade for car music systems</v>
      </c>
      <c r="R5" t="str" cm="1">
        <f t="array" aca="1" ref="R5" ca="1">INDEX($D$2:$D$101,RANDBETWEEN(1,ROWS(R6:R104)))</f>
        <v>Smart Switch</v>
      </c>
      <c r="S5" t="str">
        <f t="shared" ca="1" si="23"/>
        <v>Wi-Fi-enabled wall switch for remote operation</v>
      </c>
      <c r="T5" t="str" cm="1">
        <f t="array" aca="1" ref="T5" ca="1">INDEX($D$2:$D$101,RANDBETWEEN(1,ROWS(T6:T104)))</f>
        <v>Electric Chopper</v>
      </c>
      <c r="U5" t="str">
        <f t="shared" ca="1" si="24"/>
        <v>Chops vegetables and fruits quickly</v>
      </c>
      <c r="V5" t="str" cm="1">
        <f t="array" aca="1" ref="V5" ca="1">INDEX($D$2:$D$101,RANDBETWEEN(1,ROWS(V6:V104)))</f>
        <v>Emergency Solar Light</v>
      </c>
      <c r="W5" t="str">
        <f t="shared" ca="1" si="25"/>
        <v>Solar-powered backup light</v>
      </c>
      <c r="X5" t="str" cm="1">
        <f t="array" aca="1" ref="X5" ca="1">INDEX($D$2:$D$101,RANDBETWEEN(1,ROWS(X6:X104)))</f>
        <v>TV Wall Mount</v>
      </c>
      <c r="Y5" t="str">
        <f t="shared" ca="1" si="26"/>
        <v>Mounting bracket for flat TVs</v>
      </c>
      <c r="Z5" t="str" cm="1">
        <f t="array" aca="1" ref="Z5" ca="1">INDEX($D$2:$D$101,RANDBETWEEN(1,ROWS(Z6:Z104)))</f>
        <v>Waffle Maker</v>
      </c>
      <c r="AA5" t="str">
        <f t="shared" ca="1" si="27"/>
        <v>Makes waffles at home</v>
      </c>
      <c r="AB5" t="str" cm="1">
        <f t="array" aca="1" ref="AB5" ca="1">INDEX($D$2:$D$101,RANDBETWEEN(1,ROWS(AB6:AB104)))</f>
        <v>Car Air Purifier</v>
      </c>
      <c r="AC5" t="str">
        <f t="shared" ca="1" si="28"/>
        <v>Filters air inside vehicles</v>
      </c>
      <c r="AD5" t="str" cm="1">
        <f t="array" aca="1" ref="AD5" ca="1">INDEX($D$2:$D$101,RANDBETWEEN(1,ROWS(AD6:AD104)))</f>
        <v>Cold Press Juicer</v>
      </c>
      <c r="AE5" t="str">
        <f t="shared" ca="1" si="29"/>
        <v>Slow juicer for better nutrient retention</v>
      </c>
      <c r="AF5" t="str" cm="1">
        <f t="array" aca="1" ref="AF5" ca="1">INDEX($D$2:$D$101,RANDBETWEEN(1,ROWS(AF6:AF104)))</f>
        <v>Indoor Thermometer</v>
      </c>
      <c r="AG5" t="str">
        <f t="shared" ca="1" si="30"/>
        <v>Displays indoor temperature</v>
      </c>
      <c r="AH5" t="str" cm="1">
        <f t="array" aca="1" ref="AH5" ca="1">INDEX($D$2:$D$101,RANDBETWEEN(1,ROWS(AH6:AH104)))</f>
        <v>Dashcam Rear Camera</v>
      </c>
      <c r="AI5" t="str">
        <f t="shared" ca="1" si="31"/>
        <v>Rear view recording for vehicles</v>
      </c>
      <c r="AJ5" t="str" cm="1">
        <f t="array" aca="1" ref="AJ5" ca="1">INDEX($D$2:$D$101,RANDBETWEEN(1,ROWS(AJ6:AJ104)))</f>
        <v>Smart Geyser</v>
      </c>
      <c r="AK5" t="str">
        <f t="shared" ca="1" si="14"/>
        <v>Internet-connected water heater</v>
      </c>
      <c r="AL5" t="str" cm="1">
        <f t="array" aca="1" ref="AL5" ca="1">INDEX($D$2:$D$101,RANDBETWEEN(1,ROWS(AL6:AL104)))</f>
        <v>Roti Maker</v>
      </c>
      <c r="AM5" t="str">
        <f t="shared" ca="1" si="32"/>
        <v>Flattens and cooks Indian flatbreads</v>
      </c>
      <c r="AN5" t="str" cm="1">
        <f t="array" aca="1" ref="AN5" ca="1">INDEX($D$2:$D$101,RANDBETWEEN(1,ROWS(AN6:AN104)))</f>
        <v>Pedestal Fan</v>
      </c>
      <c r="AO5" t="str">
        <f t="shared" ca="1" si="33"/>
        <v>Adjustable stand fan for personal cooling</v>
      </c>
      <c r="AP5" t="str" cm="1">
        <f t="array" aca="1" ref="AP5" ca="1">INDEX($D$2:$D$101,RANDBETWEEN(1,ROWS(AP6:AP104)))</f>
        <v>Electric Chopper</v>
      </c>
      <c r="AQ5" t="str">
        <f t="shared" ca="1" si="34"/>
        <v>Chops vegetables and fruits quickly</v>
      </c>
    </row>
    <row r="6" spans="1:43" ht="20.5" customHeight="1" x14ac:dyDescent="0.3">
      <c r="A6" s="22">
        <v>105</v>
      </c>
      <c r="B6" t="s">
        <v>322</v>
      </c>
      <c r="C6" t="s">
        <v>32</v>
      </c>
      <c r="D6" s="1" t="s">
        <v>33</v>
      </c>
      <c r="E6" s="1" t="s">
        <v>34</v>
      </c>
      <c r="F6" t="str" cm="1">
        <f t="array" aca="1" ref="F6" ca="1">INDEX($D$2:$D$101,RANDBETWEEN(1,ROWS(F7:F105)))</f>
        <v>Electric Facial Brush</v>
      </c>
      <c r="G6" t="str">
        <f t="shared" ca="1" si="0"/>
        <v>Cleansing brush for exfoliation</v>
      </c>
      <c r="H6" t="str" cm="1">
        <f t="array" aca="1" ref="H6" ca="1">INDEX($D$2:$D$101,RANDBETWEEN(1,ROWS(H7:H105)))</f>
        <v>HDMI Cable</v>
      </c>
      <c r="I6" t="str">
        <f t="shared" ca="1" si="18"/>
        <v>Transfers audio/video signals</v>
      </c>
      <c r="J6" t="str" cm="1">
        <f t="array" aca="1" ref="J6" ca="1">INDEX($D$2:$D$101,RANDBETWEEN(1,ROWS(J7:J105)))</f>
        <v>LED Strip with Remote</v>
      </c>
      <c r="K6" t="str">
        <f t="shared" ca="1" si="19"/>
        <v>Customizable LED lighting with remote control</v>
      </c>
      <c r="L6" t="str" cm="1">
        <f t="array" aca="1" ref="L6" ca="1">INDEX($D$2:$D$101,RANDBETWEEN(1,ROWS(L7:L105)))</f>
        <v>TV Wall Mount</v>
      </c>
      <c r="M6" t="str">
        <f t="shared" ca="1" si="20"/>
        <v>Mounting bracket for flat TVs</v>
      </c>
      <c r="N6" t="str" cm="1">
        <f t="array" aca="1" ref="N6" ca="1">INDEX($D$2:$D$101,RANDBETWEEN(1,ROWS(N7:N105)))</f>
        <v>Kitchen Timer</v>
      </c>
      <c r="O6" t="str">
        <f t="shared" ca="1" si="21"/>
        <v>Digital countdown timer for cooking</v>
      </c>
      <c r="P6" t="str" cm="1">
        <f t="array" aca="1" ref="P6" ca="1">INDEX($D$2:$D$101,RANDBETWEEN(1,ROWS(P7:P105)))</f>
        <v>Smart Weighing Scale</v>
      </c>
      <c r="Q6" t="str">
        <f t="shared" ca="1" si="22"/>
        <v>Body scale with app sync and health data</v>
      </c>
      <c r="R6" t="str" cm="1">
        <f t="array" aca="1" ref="R6" ca="1">INDEX($D$2:$D$101,RANDBETWEEN(1,ROWS(R7:R105)))</f>
        <v>Smart Alarm Clock</v>
      </c>
      <c r="S6" t="str">
        <f t="shared" ca="1" si="23"/>
        <v>Alarm with smart features like weather, music, and lights</v>
      </c>
      <c r="T6" t="str" cm="1">
        <f t="array" aca="1" ref="T6" ca="1">INDEX($D$2:$D$101,RANDBETWEEN(1,ROWS(T7:T105)))</f>
        <v>Tower Fan</v>
      </c>
      <c r="U6" t="str">
        <f t="shared" ca="1" si="24"/>
        <v>Space-saving vertical fan</v>
      </c>
      <c r="V6" t="str" cm="1">
        <f t="array" aca="1" ref="V6" ca="1">INDEX($D$2:$D$101,RANDBETWEEN(1,ROWS(V7:V105)))</f>
        <v>Plug-in Night Light</v>
      </c>
      <c r="W6" t="str">
        <f t="shared" ca="1" si="25"/>
        <v>Low-power night light for rooms</v>
      </c>
      <c r="X6" t="str" cm="1">
        <f t="array" aca="1" ref="X6" ca="1">INDEX($D$2:$D$101,RANDBETWEEN(1,ROWS(X7:X105)))</f>
        <v>Magnetic Charging Cable</v>
      </c>
      <c r="Y6" t="str">
        <f t="shared" ca="1" si="26"/>
        <v>Detachable magnetic USB cable</v>
      </c>
      <c r="Z6" t="str" cm="1">
        <f t="array" aca="1" ref="Z6" ca="1">INDEX($D$2:$D$101,RANDBETWEEN(1,ROWS(Z7:Z105)))</f>
        <v>Smart Alarm Clock</v>
      </c>
      <c r="AA6" t="str">
        <f t="shared" ca="1" si="27"/>
        <v>Alarm with smart features like weather, music, and lights</v>
      </c>
      <c r="AB6" t="str" cm="1">
        <f t="array" aca="1" ref="AB6" ca="1">INDEX($D$2:$D$101,RANDBETWEEN(1,ROWS(AB7:AB105)))</f>
        <v>Portable Car Heater</v>
      </c>
      <c r="AC6" t="str">
        <f t="shared" ca="1" si="28"/>
        <v>12V heater for car interiors</v>
      </c>
      <c r="AD6" t="str" cm="1">
        <f t="array" aca="1" ref="AD6" ca="1">INDEX($D$2:$D$101,RANDBETWEEN(1,ROWS(AD7:AD105)))</f>
        <v>Mosquito Killer Lamp</v>
      </c>
      <c r="AE6" t="str">
        <f t="shared" ca="1" si="29"/>
        <v>Electric trap for mosquitoes</v>
      </c>
      <c r="AF6" t="str" cm="1">
        <f t="array" aca="1" ref="AF6" ca="1">INDEX($D$2:$D$101,RANDBETWEEN(1,ROWS(AF7:AF105)))</f>
        <v>Rechargeable Torch</v>
      </c>
      <c r="AG6" t="str">
        <f t="shared" ca="1" si="30"/>
        <v>Flashlight that can be recharged</v>
      </c>
      <c r="AH6" t="str" cm="1">
        <f t="array" aca="1" ref="AH6" ca="1">INDEX($D$2:$D$101,RANDBETWEEN(1,ROWS(AH7:AH105)))</f>
        <v>Ice Maker</v>
      </c>
      <c r="AI6" t="str">
        <f t="shared" ca="1" si="31"/>
        <v>Machine that produces ice cubes automatically</v>
      </c>
      <c r="AJ6" t="str" cm="1">
        <f t="array" aca="1" ref="AJ6" ca="1">INDEX($D$2:$D$101,RANDBETWEEN(1,ROWS(AJ7:AJ105)))</f>
        <v>Solar Garden Light</v>
      </c>
      <c r="AK6" t="str">
        <f t="shared" ca="1" si="14"/>
        <v>Solar-powered outdoor lighting</v>
      </c>
      <c r="AL6" t="str" cm="1">
        <f t="array" aca="1" ref="AL6" ca="1">INDEX($D$2:$D$101,RANDBETWEEN(1,ROWS(AL7:AL105)))</f>
        <v>Mosquito Killer Lamp</v>
      </c>
      <c r="AM6" t="str">
        <f t="shared" ca="1" si="32"/>
        <v>Electric trap for mosquitoes</v>
      </c>
      <c r="AN6" t="str" cm="1">
        <f t="array" aca="1" ref="AN6" ca="1">INDEX($D$2:$D$101,RANDBETWEEN(1,ROWS(AN7:AN105)))</f>
        <v>Hair Removal Epilator</v>
      </c>
      <c r="AO6" t="str">
        <f t="shared" ca="1" si="33"/>
        <v>Plucks hair from root electrically</v>
      </c>
      <c r="AP6" t="str" cm="1">
        <f t="array" aca="1" ref="AP6" ca="1">INDEX($D$2:$D$101,RANDBETWEEN(1,ROWS(AP7:AP105)))</f>
        <v>Heated Eyelash Curler</v>
      </c>
      <c r="AQ6" t="str">
        <f t="shared" ca="1" si="34"/>
        <v>Shapes eyelashes with gentle heat</v>
      </c>
    </row>
    <row r="7" spans="1:43" ht="20.5" customHeight="1" x14ac:dyDescent="0.3">
      <c r="A7" s="22">
        <v>106</v>
      </c>
      <c r="B7" t="s">
        <v>323</v>
      </c>
      <c r="C7" t="s">
        <v>35</v>
      </c>
      <c r="D7" s="1" t="s">
        <v>36</v>
      </c>
      <c r="E7" s="1" t="s">
        <v>37</v>
      </c>
      <c r="F7" t="str" cm="1">
        <f t="array" aca="1" ref="F7" ca="1">INDEX($D$2:$D$101,RANDBETWEEN(1,ROWS(F8:F106)))</f>
        <v>Ultrasonic Skin Cleaner</v>
      </c>
      <c r="G7" t="str">
        <f t="shared" ca="1" si="0"/>
        <v>Deep cleans skin using ultrasonic waves</v>
      </c>
      <c r="H7" t="str" cm="1">
        <f t="array" aca="1" ref="H7" ca="1">INDEX($D$2:$D$101,RANDBETWEEN(1,ROWS(H8:H106)))</f>
        <v>Robot Vacuum Cleaner</v>
      </c>
      <c r="I7" t="str">
        <f t="shared" ca="1" si="18"/>
        <v>Automated floor cleaning device</v>
      </c>
      <c r="J7" t="str" cm="1">
        <f t="array" aca="1" ref="J7" ca="1">INDEX($D$2:$D$101,RANDBETWEEN(1,ROWS(J8:J106)))</f>
        <v>Portable Power Station</v>
      </c>
      <c r="K7" t="str">
        <f t="shared" ca="1" si="19"/>
        <v>Rechargeable power supply for outdoors</v>
      </c>
      <c r="L7" t="str" cm="1">
        <f t="array" aca="1" ref="L7" ca="1">INDEX($D$2:$D$101,RANDBETWEEN(1,ROWS(L8:L106)))</f>
        <v>LED Strip with Remote</v>
      </c>
      <c r="M7" t="str">
        <f t="shared" ca="1" si="20"/>
        <v>Customizable LED lighting with remote control</v>
      </c>
      <c r="N7" t="str" cm="1">
        <f t="array" aca="1" ref="N7" ca="1">INDEX($D$2:$D$101,RANDBETWEEN(1,ROWS(N8:N106)))</f>
        <v>Portable Power Station</v>
      </c>
      <c r="O7" t="str">
        <f t="shared" ca="1" si="21"/>
        <v>Rechargeable power supply for outdoors</v>
      </c>
      <c r="P7" t="str" cm="1">
        <f t="array" aca="1" ref="P7" ca="1">INDEX($D$2:$D$101,RANDBETWEEN(1,ROWS(P8:P106)))</f>
        <v>Crepe Maker</v>
      </c>
      <c r="Q7" t="str">
        <f t="shared" ca="1" si="22"/>
        <v>Electric pan for making crepes</v>
      </c>
      <c r="R7" t="str" cm="1">
        <f t="array" aca="1" ref="R7" ca="1">INDEX($D$2:$D$101,RANDBETWEEN(1,ROWS(R8:R106)))</f>
        <v>Ceiling Light with Fan</v>
      </c>
      <c r="S7" t="str">
        <f t="shared" ca="1" si="23"/>
        <v>Dual-function decorative ceiling light with built-in fan</v>
      </c>
      <c r="T7" t="str" cm="1">
        <f t="array" aca="1" ref="T7" ca="1">INDEX($D$2:$D$101,RANDBETWEEN(1,ROWS(T8:T106)))</f>
        <v>Waffle Maker</v>
      </c>
      <c r="U7" t="str">
        <f t="shared" ca="1" si="24"/>
        <v>Makes waffles at home</v>
      </c>
      <c r="V7" t="str" cm="1">
        <f t="array" aca="1" ref="V7" ca="1">INDEX($D$2:$D$101,RANDBETWEEN(1,ROWS(V8:V106)))</f>
        <v>Room Heater</v>
      </c>
      <c r="W7" t="str">
        <f t="shared" ca="1" si="25"/>
        <v>Electric heater for indoor heating</v>
      </c>
      <c r="X7" t="str" cm="1">
        <f t="array" aca="1" ref="X7" ca="1">INDEX($D$2:$D$101,RANDBETWEEN(1,ROWS(X8:X106)))</f>
        <v>Robot Vacuum Cleaner</v>
      </c>
      <c r="Y7" t="str">
        <f t="shared" ca="1" si="26"/>
        <v>Automated floor cleaning device</v>
      </c>
      <c r="Z7" t="str" cm="1">
        <f t="array" aca="1" ref="Z7" ca="1">INDEX($D$2:$D$101,RANDBETWEEN(1,ROWS(Z8:Z106)))</f>
        <v>Pancake Maker</v>
      </c>
      <c r="AA7" t="str">
        <f t="shared" ca="1" si="27"/>
        <v>Easy tool for making pancakes</v>
      </c>
      <c r="AB7" t="str" cm="1">
        <f t="array" aca="1" ref="AB7" ca="1">INDEX($D$2:$D$101,RANDBETWEEN(1,ROWS(AB8:AB106)))</f>
        <v>Hygrometer</v>
      </c>
      <c r="AC7" t="str">
        <f t="shared" ca="1" si="28"/>
        <v>Measures indoor humidity levels</v>
      </c>
      <c r="AD7" t="str" cm="1">
        <f t="array" aca="1" ref="AD7" ca="1">INDEX($D$2:$D$101,RANDBETWEEN(1,ROWS(AD8:AD106)))</f>
        <v>Smart Doorbell</v>
      </c>
      <c r="AE7" t="str">
        <f t="shared" ca="1" si="29"/>
        <v>Wi-Fi-enabled doorbell with camera and intercom</v>
      </c>
      <c r="AF7" t="str" cm="1">
        <f t="array" aca="1" ref="AF7" ca="1">INDEX($D$2:$D$101,RANDBETWEEN(1,ROWS(AF8:AF106)))</f>
        <v>Extension Board with USB</v>
      </c>
      <c r="AG7" t="str">
        <f t="shared" ca="1" si="30"/>
        <v>Power strip with USB charging ports</v>
      </c>
      <c r="AH7" t="str" cm="1">
        <f t="array" aca="1" ref="AH7" ca="1">INDEX($D$2:$D$101,RANDBETWEEN(1,ROWS(AH8:AH106)))</f>
        <v>Yogurt Maker</v>
      </c>
      <c r="AI7" t="str">
        <f t="shared" ca="1" si="31"/>
        <v>Home appliance for making yogurt</v>
      </c>
      <c r="AJ7" t="str" cm="1">
        <f t="array" aca="1" ref="AJ7" ca="1">INDEX($D$2:$D$101,RANDBETWEEN(1,ROWS(AJ8:AJ106)))</f>
        <v>Cord Organizer Box</v>
      </c>
      <c r="AK7" t="str">
        <f t="shared" ca="1" si="14"/>
        <v>Box to hide and manage power strips</v>
      </c>
      <c r="AL7" t="str" cm="1">
        <f t="array" aca="1" ref="AL7" ca="1">INDEX($D$2:$D$101,RANDBETWEEN(1,ROWS(AL8:AL106)))</f>
        <v>Smart IR Remote</v>
      </c>
      <c r="AM7" t="str">
        <f t="shared" ca="1" si="32"/>
        <v>Controls appliances via smartphone</v>
      </c>
      <c r="AN7" t="str" cm="1">
        <f t="array" aca="1" ref="AN7" ca="1">INDEX($D$2:$D$101,RANDBETWEEN(1,ROWS(AN8:AN106)))</f>
        <v>Kitchen Timer</v>
      </c>
      <c r="AO7" t="str">
        <f t="shared" ca="1" si="33"/>
        <v>Digital countdown timer for cooking</v>
      </c>
      <c r="AP7" t="str" cm="1">
        <f t="array" aca="1" ref="AP7" ca="1">INDEX($D$2:$D$101,RANDBETWEEN(1,ROWS(AP8:AP106)))</f>
        <v>Kitchen Weighing Scale</v>
      </c>
      <c r="AQ7" t="str">
        <f t="shared" ca="1" si="34"/>
        <v>Measures food portions accurately</v>
      </c>
    </row>
    <row r="8" spans="1:43" ht="20.5" customHeight="1" x14ac:dyDescent="0.3">
      <c r="A8" s="22">
        <v>107</v>
      </c>
      <c r="B8" t="s">
        <v>324</v>
      </c>
      <c r="C8" t="s">
        <v>38</v>
      </c>
      <c r="D8" s="1" t="s">
        <v>39</v>
      </c>
      <c r="E8" s="1" t="s">
        <v>40</v>
      </c>
      <c r="F8" t="str" cm="1">
        <f t="array" aca="1" ref="F8" ca="1">INDEX($D$2:$D$101,RANDBETWEEN(1,ROWS(F9:F107)))</f>
        <v>Facial Steamer</v>
      </c>
      <c r="G8" t="str">
        <f t="shared" ca="1" si="0"/>
        <v>Opens pores for skincare routine</v>
      </c>
      <c r="H8" t="str" cm="1">
        <f t="array" aca="1" ref="H8" ca="1">INDEX($D$2:$D$101,RANDBETWEEN(1,ROWS(H9:H107)))</f>
        <v>Hair Removal Epilator</v>
      </c>
      <c r="I8" t="str">
        <f t="shared" ca="1" si="18"/>
        <v>Plucks hair from root electrically</v>
      </c>
      <c r="J8" t="str" cm="1">
        <f t="array" aca="1" ref="J8" ca="1">INDEX($D$2:$D$101,RANDBETWEEN(1,ROWS(J9:J107)))</f>
        <v>Instant Coffee Machine</v>
      </c>
      <c r="K8" t="str">
        <f t="shared" ca="1" si="19"/>
        <v>Brews coffee quickly and easily</v>
      </c>
      <c r="L8" t="str" cm="1">
        <f t="array" aca="1" ref="L8" ca="1">INDEX($D$2:$D$101,RANDBETWEEN(1,ROWS(L9:L107)))</f>
        <v>Smart Toothbrush</v>
      </c>
      <c r="M8" t="str">
        <f t="shared" ca="1" si="20"/>
        <v>Electric brush with Bluetooth tracking</v>
      </c>
      <c r="N8" t="str" cm="1">
        <f t="array" aca="1" ref="N8" ca="1">INDEX($D$2:$D$101,RANDBETWEEN(1,ROWS(N9:N107)))</f>
        <v>Smart Smoke Detector</v>
      </c>
      <c r="O8" t="str">
        <f t="shared" ca="1" si="21"/>
        <v>Smoke alarm with smart alerts</v>
      </c>
      <c r="P8" t="str" cm="1">
        <f t="array" aca="1" ref="P8" ca="1">INDEX($D$2:$D$101,RANDBETWEEN(1,ROWS(P9:P107)))</f>
        <v>Portable Air Conditioner</v>
      </c>
      <c r="Q8" t="str">
        <f t="shared" ca="1" si="22"/>
        <v>Compact AC unit for small spaces</v>
      </c>
      <c r="R8" t="str" cm="1">
        <f t="array" aca="1" ref="R8" ca="1">INDEX($D$2:$D$101,RANDBETWEEN(1,ROWS(R9:R107)))</f>
        <v>Smart Mosquito Repeller</v>
      </c>
      <c r="S8" t="str">
        <f t="shared" ca="1" si="23"/>
        <v>USB-powered electronic insect repeller</v>
      </c>
      <c r="T8" t="str" cm="1">
        <f t="array" aca="1" ref="T8" ca="1">INDEX($D$2:$D$101,RANDBETWEEN(1,ROWS(T9:T107)))</f>
        <v>HDMI Switch</v>
      </c>
      <c r="U8" t="str">
        <f t="shared" ca="1" si="24"/>
        <v>Connects multiple HDMI devices</v>
      </c>
      <c r="V8" t="str" cm="1">
        <f t="array" aca="1" ref="V8" ca="1">INDEX($D$2:$D$101,RANDBETWEEN(1,ROWS(V9:V107)))</f>
        <v>Mosquito Killer Lamp</v>
      </c>
      <c r="W8" t="str">
        <f t="shared" ca="1" si="25"/>
        <v>Electric trap for mosquitoes</v>
      </c>
      <c r="X8" t="str" cm="1">
        <f t="array" aca="1" ref="X8" ca="1">INDEX($D$2:$D$101,RANDBETWEEN(1,ROWS(X9:X107)))</f>
        <v>Kitchen Weighing Scale</v>
      </c>
      <c r="Y8" t="str">
        <f t="shared" ca="1" si="26"/>
        <v>Measures food portions accurately</v>
      </c>
      <c r="Z8" t="str" cm="1">
        <f t="array" aca="1" ref="Z8" ca="1">INDEX($D$2:$D$101,RANDBETWEEN(1,ROWS(Z9:Z107)))</f>
        <v>HDMI Cable</v>
      </c>
      <c r="AA8" t="str">
        <f t="shared" ca="1" si="27"/>
        <v>Transfers audio/video signals</v>
      </c>
      <c r="AB8" t="str" cm="1">
        <f t="array" aca="1" ref="AB8" ca="1">INDEX($D$2:$D$101,RANDBETWEEN(1,ROWS(AB9:AB107)))</f>
        <v>Smart Doorbell</v>
      </c>
      <c r="AC8" t="str">
        <f t="shared" ca="1" si="28"/>
        <v>Wi-Fi-enabled doorbell with camera and intercom</v>
      </c>
      <c r="AD8" t="str" cm="1">
        <f t="array" aca="1" ref="AD8" ca="1">INDEX($D$2:$D$101,RANDBETWEEN(1,ROWS(AD9:AD107)))</f>
        <v>Car Air Purifier</v>
      </c>
      <c r="AE8" t="str">
        <f t="shared" ca="1" si="29"/>
        <v>Filters air inside vehicles</v>
      </c>
      <c r="AF8" t="str" cm="1">
        <f t="array" aca="1" ref="AF8" ca="1">INDEX($D$2:$D$101,RANDBETWEEN(1,ROWS(AF9:AF107)))</f>
        <v>Crepe Maker</v>
      </c>
      <c r="AG8" t="str">
        <f t="shared" ca="1" si="30"/>
        <v>Electric pan for making crepes</v>
      </c>
      <c r="AH8" t="str" cm="1">
        <f t="array" aca="1" ref="AH8" ca="1">INDEX($D$2:$D$101,RANDBETWEEN(1,ROWS(AH9:AH107)))</f>
        <v>Cold Press Juicer</v>
      </c>
      <c r="AI8" t="str">
        <f t="shared" ca="1" si="31"/>
        <v>Slow juicer for better nutrient retention</v>
      </c>
      <c r="AJ8" t="str" cm="1">
        <f t="array" aca="1" ref="AJ8" ca="1">INDEX($D$2:$D$101,RANDBETWEEN(1,ROWS(AJ9:AJ107)))</f>
        <v>Yogurt Maker</v>
      </c>
      <c r="AK8" t="str">
        <f t="shared" ca="1" si="14"/>
        <v>Home appliance for making yogurt</v>
      </c>
      <c r="AL8" t="str" cm="1">
        <f t="array" aca="1" ref="AL8" ca="1">INDEX($D$2:$D$101,RANDBETWEEN(1,ROWS(AL9:AL107)))</f>
        <v>Facial Steamer</v>
      </c>
      <c r="AM8" t="str">
        <f t="shared" ca="1" si="32"/>
        <v>Opens pores for skincare routine</v>
      </c>
      <c r="AN8" t="str" cm="1">
        <f t="array" aca="1" ref="AN8" ca="1">INDEX($D$2:$D$101,RANDBETWEEN(1,ROWS(AN9:AN107)))</f>
        <v>Electric Chopper</v>
      </c>
      <c r="AO8" t="str">
        <f t="shared" ca="1" si="33"/>
        <v>Chops vegetables and fruits quickly</v>
      </c>
      <c r="AP8" t="str" cm="1">
        <f t="array" aca="1" ref="AP8" ca="1">INDEX($D$2:$D$101,RANDBETWEEN(1,ROWS(AP9:AP107)))</f>
        <v>Ultrasonic Skin Cleaner</v>
      </c>
      <c r="AQ8" t="str">
        <f t="shared" ca="1" si="34"/>
        <v>Deep cleans skin using ultrasonic waves</v>
      </c>
    </row>
    <row r="9" spans="1:43" ht="20.5" customHeight="1" x14ac:dyDescent="0.3">
      <c r="A9" s="22">
        <v>108</v>
      </c>
      <c r="B9" t="s">
        <v>325</v>
      </c>
      <c r="C9" t="s">
        <v>41</v>
      </c>
      <c r="D9" s="1" t="s">
        <v>42</v>
      </c>
      <c r="E9" s="1" t="s">
        <v>43</v>
      </c>
      <c r="F9" t="str" cm="1">
        <f t="array" aca="1" ref="F9" ca="1">INDEX($D$2:$D$101,RANDBETWEEN(1,ROWS(F10:F108)))</f>
        <v>Smart Microwave</v>
      </c>
      <c r="G9" t="str">
        <f t="shared" ca="1" si="0"/>
        <v>Microwave with voice or app control</v>
      </c>
      <c r="H9" t="str" cm="1">
        <f t="array" aca="1" ref="H9" ca="1">INDEX($D$2:$D$101,RANDBETWEEN(1,ROWS(H10:H108)))</f>
        <v>Water Dispenser</v>
      </c>
      <c r="I9" t="str">
        <f t="shared" ca="1" si="18"/>
        <v>Dispenses hot and cold water</v>
      </c>
      <c r="J9" t="str" cm="1">
        <f t="array" aca="1" ref="J9" ca="1">INDEX($D$2:$D$101,RANDBETWEEN(1,ROWS(J10:J108)))</f>
        <v>Robot Vacuum Cleaner</v>
      </c>
      <c r="K9" t="str">
        <f t="shared" ca="1" si="19"/>
        <v>Automated floor cleaning device</v>
      </c>
      <c r="L9" t="str" cm="1">
        <f t="array" aca="1" ref="L9" ca="1">INDEX($D$2:$D$101,RANDBETWEEN(1,ROWS(L10:L108)))</f>
        <v>Motion Detector</v>
      </c>
      <c r="M9" t="str">
        <f t="shared" ca="1" si="20"/>
        <v>Triggers alarm or light on motion detection</v>
      </c>
      <c r="N9" t="str" cm="1">
        <f t="array" aca="1" ref="N9" ca="1">INDEX($D$2:$D$101,RANDBETWEEN(1,ROWS(N10:N108)))</f>
        <v>Solar Garden Light</v>
      </c>
      <c r="O9" t="str">
        <f t="shared" ca="1" si="21"/>
        <v>Solar-powered outdoor lighting</v>
      </c>
      <c r="P9" t="str" cm="1">
        <f t="array" aca="1" ref="P9" ca="1">INDEX($D$2:$D$101,RANDBETWEEN(1,ROWS(P10:P108)))</f>
        <v>Solar Garden Light</v>
      </c>
      <c r="Q9" t="str">
        <f t="shared" ca="1" si="22"/>
        <v>Solar-powered outdoor lighting</v>
      </c>
      <c r="R9" t="str" cm="1">
        <f t="array" aca="1" ref="R9" ca="1">INDEX($D$2:$D$101,RANDBETWEEN(1,ROWS(R10:R108)))</f>
        <v>Air Humidifier with Light</v>
      </c>
      <c r="S9" t="str">
        <f t="shared" ca="1" si="23"/>
        <v>Adds moisture and includes night light feature</v>
      </c>
      <c r="T9" t="str" cm="1">
        <f t="array" aca="1" ref="T9" ca="1">INDEX($D$2:$D$101,RANDBETWEEN(1,ROWS(T10:T108)))</f>
        <v>Plug-in Night Light</v>
      </c>
      <c r="U9" t="str">
        <f t="shared" ca="1" si="24"/>
        <v>Low-power night light for rooms</v>
      </c>
      <c r="V9" t="str" cm="1">
        <f t="array" aca="1" ref="V9" ca="1">INDEX($D$2:$D$101,RANDBETWEEN(1,ROWS(V10:V108)))</f>
        <v>Portable Car Heater</v>
      </c>
      <c r="W9" t="str">
        <f t="shared" ca="1" si="25"/>
        <v>12V heater for car interiors</v>
      </c>
      <c r="X9" t="str" cm="1">
        <f t="array" aca="1" ref="X9" ca="1">INDEX($D$2:$D$101,RANDBETWEEN(1,ROWS(X10:X108)))</f>
        <v>Electric Egg Beater</v>
      </c>
      <c r="Y9" t="str">
        <f t="shared" ca="1" si="26"/>
        <v>Handheld electric whisk for baking</v>
      </c>
      <c r="Z9" t="str" cm="1">
        <f t="array" aca="1" ref="Z9" ca="1">INDEX($D$2:$D$101,RANDBETWEEN(1,ROWS(Z10:Z108)))</f>
        <v>Ice Maker</v>
      </c>
      <c r="AA9" t="str">
        <f t="shared" ca="1" si="27"/>
        <v>Machine that produces ice cubes automatically</v>
      </c>
      <c r="AB9" t="str" cm="1">
        <f t="array" aca="1" ref="AB9" ca="1">INDEX($D$2:$D$101,RANDBETWEEN(1,ROWS(AB10:AB108)))</f>
        <v>Smart Microwave</v>
      </c>
      <c r="AC9" t="str">
        <f t="shared" ca="1" si="28"/>
        <v>Microwave with voice or app control</v>
      </c>
      <c r="AD9" t="str" cm="1">
        <f t="array" aca="1" ref="AD9" ca="1">INDEX($D$2:$D$101,RANDBETWEEN(1,ROWS(AD10:AD108)))</f>
        <v>Laptop Stand</v>
      </c>
      <c r="AE9" t="str">
        <f t="shared" ca="1" si="29"/>
        <v>Raises laptop for ergonomic use</v>
      </c>
      <c r="AF9" t="str" cm="1">
        <f t="array" aca="1" ref="AF9" ca="1">INDEX($D$2:$D$101,RANDBETWEEN(1,ROWS(AF10:AF108)))</f>
        <v>Smart Switch</v>
      </c>
      <c r="AG9" t="str">
        <f t="shared" ca="1" si="30"/>
        <v>Wi-Fi-enabled wall switch for remote operation</v>
      </c>
      <c r="AH9" t="str" cm="1">
        <f t="array" aca="1" ref="AH9" ca="1">INDEX($D$2:$D$101,RANDBETWEEN(1,ROWS(AH10:AH108)))</f>
        <v>Smart Ceiling Light</v>
      </c>
      <c r="AI9" t="str">
        <f t="shared" ca="1" si="31"/>
        <v>Wi-Fi-enabled, color-changing ceiling light</v>
      </c>
      <c r="AJ9" t="str" cm="1">
        <f t="array" aca="1" ref="AJ9" ca="1">INDEX($D$2:$D$101,RANDBETWEEN(1,ROWS(AJ10:AJ108)))</f>
        <v>Water Dispenser</v>
      </c>
      <c r="AK9" t="str">
        <f t="shared" ca="1" si="14"/>
        <v>Dispenses hot and cold water</v>
      </c>
      <c r="AL9" t="str" cm="1">
        <f t="array" aca="1" ref="AL9" ca="1">INDEX($D$2:$D$101,RANDBETWEEN(1,ROWS(AL10:AL108)))</f>
        <v>Smart Energy Monitor</v>
      </c>
      <c r="AM9" t="str">
        <f t="shared" ca="1" si="32"/>
        <v>Tracks power consumption in real-time</v>
      </c>
      <c r="AN9" t="str" cm="1">
        <f t="array" aca="1" ref="AN9" ca="1">INDEX($D$2:$D$101,RANDBETWEEN(1,ROWS(AN10:AN108)))</f>
        <v>Meat Grinder</v>
      </c>
      <c r="AO9" t="str">
        <f t="shared" ca="1" si="33"/>
        <v>Grinds meat for home cooking</v>
      </c>
      <c r="AP9" t="str" cm="1">
        <f t="array" aca="1" ref="AP9" ca="1">INDEX($D$2:$D$101,RANDBETWEEN(1,ROWS(AP10:AP108)))</f>
        <v>Smart Energy Monitor</v>
      </c>
      <c r="AQ9" t="str">
        <f t="shared" ca="1" si="34"/>
        <v>Tracks power consumption in real-time</v>
      </c>
    </row>
    <row r="10" spans="1:43" ht="20.5" customHeight="1" x14ac:dyDescent="0.3">
      <c r="A10" s="22">
        <v>109</v>
      </c>
      <c r="B10" t="s">
        <v>326</v>
      </c>
      <c r="C10" t="s">
        <v>44</v>
      </c>
      <c r="D10" s="1" t="s">
        <v>45</v>
      </c>
      <c r="E10" s="1" t="s">
        <v>46</v>
      </c>
      <c r="F10" t="str" cm="1">
        <f t="array" aca="1" ref="F10" ca="1">INDEX($D$2:$D$101,RANDBETWEEN(1,ROWS(F11:F109)))</f>
        <v>Tower Fan</v>
      </c>
      <c r="G10" t="str">
        <f t="shared" ca="1" si="0"/>
        <v>Space-saving vertical fan</v>
      </c>
      <c r="H10" t="str" cm="1">
        <f t="array" aca="1" ref="H10" ca="1">INDEX($D$2:$D$101,RANDBETWEEN(1,ROWS(H11:H109)))</f>
        <v>Bread Maker</v>
      </c>
      <c r="I10" t="str">
        <f t="shared" ca="1" si="18"/>
        <v>Automatically bakes fresh bread</v>
      </c>
      <c r="J10" t="str" cm="1">
        <f t="array" aca="1" ref="J10" ca="1">INDEX($D$2:$D$101,RANDBETWEEN(1,ROWS(J11:J109)))</f>
        <v>Bluetooth Transmitter</v>
      </c>
      <c r="K10" t="str">
        <f t="shared" ca="1" si="19"/>
        <v>Sends audio to Bluetooth devices</v>
      </c>
      <c r="L10" t="str" cm="1">
        <f t="array" aca="1" ref="L10" ca="1">INDEX($D$2:$D$101,RANDBETWEEN(1,ROWS(L11:L109)))</f>
        <v>Electric Facial Brush</v>
      </c>
      <c r="M10" t="str">
        <f t="shared" ca="1" si="20"/>
        <v>Cleansing brush for exfoliation</v>
      </c>
      <c r="N10" t="str" cm="1">
        <f t="array" aca="1" ref="N10" ca="1">INDEX($D$2:$D$101,RANDBETWEEN(1,ROWS(N11:N109)))</f>
        <v>Egg Boiler</v>
      </c>
      <c r="O10" t="str">
        <f t="shared" ca="1" si="21"/>
        <v>Automatically boils eggs</v>
      </c>
      <c r="P10" t="str" cm="1">
        <f t="array" aca="1" ref="P10" ca="1">INDEX($D$2:$D$101,RANDBETWEEN(1,ROWS(P11:P109)))</f>
        <v>Heated Eyelash Curler</v>
      </c>
      <c r="Q10" t="str">
        <f t="shared" ca="1" si="22"/>
        <v>Shapes eyelashes with gentle heat</v>
      </c>
      <c r="R10" t="str" cm="1">
        <f t="array" aca="1" ref="R10" ca="1">INDEX($D$2:$D$101,RANDBETWEEN(1,ROWS(R11:R109)))</f>
        <v>Ceiling Light with Fan</v>
      </c>
      <c r="S10" t="str">
        <f t="shared" ca="1" si="23"/>
        <v>Dual-function decorative ceiling light with built-in fan</v>
      </c>
      <c r="T10" t="str" cm="1">
        <f t="array" aca="1" ref="T10" ca="1">INDEX($D$2:$D$101,RANDBETWEEN(1,ROWS(T11:T109)))</f>
        <v>Electric Nail File Kit</v>
      </c>
      <c r="U10" t="str">
        <f t="shared" ca="1" si="24"/>
        <v>For manicure and pedicure at home</v>
      </c>
      <c r="V10" t="str" cm="1">
        <f t="array" aca="1" ref="V10" ca="1">INDEX($D$2:$D$101,RANDBETWEEN(1,ROWS(V11:V109)))</f>
        <v>HDMI Switch</v>
      </c>
      <c r="W10" t="str">
        <f t="shared" ca="1" si="25"/>
        <v>Connects multiple HDMI devices</v>
      </c>
      <c r="X10" t="str" cm="1">
        <f t="array" aca="1" ref="X10" ca="1">INDEX($D$2:$D$101,RANDBETWEEN(1,ROWS(X11:X109)))</f>
        <v>Smart Smoke Detector</v>
      </c>
      <c r="Y10" t="str">
        <f t="shared" ca="1" si="26"/>
        <v>Smoke alarm with smart alerts</v>
      </c>
      <c r="Z10" t="str" cm="1">
        <f t="array" aca="1" ref="Z10" ca="1">INDEX($D$2:$D$101,RANDBETWEEN(1,ROWS(Z11:Z109)))</f>
        <v>Smart Washing Machine</v>
      </c>
      <c r="AA10" t="str">
        <f t="shared" ca="1" si="27"/>
        <v>Wi-Fi-enabled washer with remote control options</v>
      </c>
      <c r="AB10" t="str" cm="1">
        <f t="array" aca="1" ref="AB10" ca="1">INDEX($D$2:$D$101,RANDBETWEEN(1,ROWS(AB11:AB109)))</f>
        <v>Electric Water Boiler</v>
      </c>
      <c r="AC10" t="str">
        <f t="shared" ca="1" si="28"/>
        <v>Quickly boils large volumes of water</v>
      </c>
      <c r="AD10" t="str" cm="1">
        <f t="array" aca="1" ref="AD10" ca="1">INDEX($D$2:$D$101,RANDBETWEEN(1,ROWS(AD11:AD109)))</f>
        <v>USB-C Docking Station</v>
      </c>
      <c r="AE10" t="str">
        <f t="shared" ca="1" si="29"/>
        <v>Expands ports for laptops</v>
      </c>
      <c r="AF10" t="str" cm="1">
        <f t="array" aca="1" ref="AF10" ca="1">INDEX($D$2:$D$101,RANDBETWEEN(1,ROWS(AF11:AF109)))</f>
        <v>Smart Energy Monitor</v>
      </c>
      <c r="AG10" t="str">
        <f t="shared" ca="1" si="30"/>
        <v>Tracks power consumption in real-time</v>
      </c>
      <c r="AH10" t="str" cm="1">
        <f t="array" aca="1" ref="AH10" ca="1">INDEX($D$2:$D$101,RANDBETWEEN(1,ROWS(AH11:AH109)))</f>
        <v>Smart Toothbrush</v>
      </c>
      <c r="AI10" t="str">
        <f t="shared" ca="1" si="31"/>
        <v>Electric brush with Bluetooth tracking</v>
      </c>
      <c r="AJ10" t="str" cm="1">
        <f t="array" aca="1" ref="AJ10" ca="1">INDEX($D$2:$D$101,RANDBETWEEN(1,ROWS(AJ11:AJ109)))</f>
        <v>UV Toothbrush Sterilizer</v>
      </c>
      <c r="AK10" t="str">
        <f t="shared" ca="1" si="14"/>
        <v>Disinfects toothbrush using UV light</v>
      </c>
      <c r="AL10" t="str" cm="1">
        <f t="array" aca="1" ref="AL10" ca="1">INDEX($D$2:$D$101,RANDBETWEEN(1,ROWS(AL11:AL109)))</f>
        <v>Hygrometer</v>
      </c>
      <c r="AM10" t="str">
        <f t="shared" ca="1" si="32"/>
        <v>Measures indoor humidity levels</v>
      </c>
      <c r="AN10" t="str" cm="1">
        <f t="array" aca="1" ref="AN10" ca="1">INDEX($D$2:$D$101,RANDBETWEEN(1,ROWS(AN11:AN109)))</f>
        <v>Smart Microwave</v>
      </c>
      <c r="AO10" t="str">
        <f t="shared" ca="1" si="33"/>
        <v>Microwave with voice or app control</v>
      </c>
      <c r="AP10" t="str" cm="1">
        <f t="array" aca="1" ref="AP10" ca="1">INDEX($D$2:$D$101,RANDBETWEEN(1,ROWS(AP11:AP109)))</f>
        <v>Bluetooth Alarm Clock</v>
      </c>
      <c r="AQ10" t="str">
        <f t="shared" ca="1" si="34"/>
        <v>Combines alarm with Bluetooth speaker</v>
      </c>
    </row>
    <row r="11" spans="1:43" ht="20.5" customHeight="1" x14ac:dyDescent="0.3">
      <c r="A11" s="22">
        <v>110</v>
      </c>
      <c r="B11" t="s">
        <v>327</v>
      </c>
      <c r="C11" t="s">
        <v>47</v>
      </c>
      <c r="D11" s="1" t="s">
        <v>48</v>
      </c>
      <c r="E11" s="1" t="s">
        <v>49</v>
      </c>
      <c r="F11" t="str" cm="1">
        <f t="array" aca="1" ref="F11" ca="1">INDEX($D$2:$D$101,RANDBETWEEN(1,ROWS(F12:F110)))</f>
        <v>Portable Air Conditioner</v>
      </c>
      <c r="G11" t="str">
        <f t="shared" ca="1" si="0"/>
        <v>Compact AC unit for small spaces</v>
      </c>
      <c r="H11" t="str" cm="1">
        <f t="array" aca="1" ref="H11" ca="1">INDEX($D$2:$D$101,RANDBETWEEN(1,ROWS(H12:H110)))</f>
        <v>Tower Fan</v>
      </c>
      <c r="I11" t="str">
        <f t="shared" ca="1" si="18"/>
        <v>Space-saving vertical fan</v>
      </c>
      <c r="J11" t="str" cm="1">
        <f t="array" aca="1" ref="J11" ca="1">INDEX($D$2:$D$101,RANDBETWEEN(1,ROWS(J12:J110)))</f>
        <v>Waffle Maker</v>
      </c>
      <c r="K11" t="str">
        <f t="shared" ca="1" si="19"/>
        <v>Makes waffles at home</v>
      </c>
      <c r="L11" t="str" cm="1">
        <f t="array" aca="1" ref="L11" ca="1">INDEX($D$2:$D$101,RANDBETWEEN(1,ROWS(L12:L110)))</f>
        <v>Smart Smoke Detector</v>
      </c>
      <c r="M11" t="str">
        <f t="shared" ca="1" si="20"/>
        <v>Smoke alarm with smart alerts</v>
      </c>
      <c r="N11" t="str" cm="1">
        <f t="array" aca="1" ref="N11" ca="1">INDEX($D$2:$D$101,RANDBETWEEN(1,ROWS(N12:N110)))</f>
        <v>USB-C Docking Station</v>
      </c>
      <c r="O11" t="str">
        <f t="shared" ca="1" si="21"/>
        <v>Expands ports for laptops</v>
      </c>
      <c r="P11" t="str" cm="1">
        <f t="array" aca="1" ref="P11" ca="1">INDEX($D$2:$D$101,RANDBETWEEN(1,ROWS(P12:P110)))</f>
        <v>Smart Refrigerator</v>
      </c>
      <c r="Q11" t="str">
        <f t="shared" ca="1" si="22"/>
        <v>Internet-connected fridge with touchscreen and smart controls</v>
      </c>
      <c r="R11" t="str" cm="1">
        <f t="array" aca="1" ref="R11" ca="1">INDEX($D$2:$D$101,RANDBETWEEN(1,ROWS(R12:R110)))</f>
        <v>Mesh Wi-Fi System</v>
      </c>
      <c r="S11" t="str">
        <f t="shared" ca="1" si="23"/>
        <v>Whole-home wireless coverage</v>
      </c>
      <c r="T11" t="str" cm="1">
        <f t="array" aca="1" ref="T11" ca="1">INDEX($D$2:$D$101,RANDBETWEEN(1,ROWS(T12:T110)))</f>
        <v>Robot Vacuum Cleaner</v>
      </c>
      <c r="U11" t="str">
        <f t="shared" ca="1" si="24"/>
        <v>Automated floor cleaning device</v>
      </c>
      <c r="V11" t="str" cm="1">
        <f t="array" aca="1" ref="V11" ca="1">INDEX($D$2:$D$101,RANDBETWEEN(1,ROWS(V12:V110)))</f>
        <v>Yogurt Maker</v>
      </c>
      <c r="W11" t="str">
        <f t="shared" ca="1" si="25"/>
        <v>Home appliance for making yogurt</v>
      </c>
      <c r="X11" t="str" cm="1">
        <f t="array" aca="1" ref="X11" ca="1">INDEX($D$2:$D$101,RANDBETWEEN(1,ROWS(X12:X110)))</f>
        <v>Crepe Maker</v>
      </c>
      <c r="Y11" t="str">
        <f t="shared" ca="1" si="26"/>
        <v>Electric pan for making crepes</v>
      </c>
      <c r="Z11" t="str" cm="1">
        <f t="array" aca="1" ref="Z11" ca="1">INDEX($D$2:$D$101,RANDBETWEEN(1,ROWS(Z12:Z110)))</f>
        <v>Ceiling Light with Fan</v>
      </c>
      <c r="AA11" t="str">
        <f t="shared" ca="1" si="27"/>
        <v>Dual-function decorative ceiling light with built-in fan</v>
      </c>
      <c r="AB11" t="str" cm="1">
        <f t="array" aca="1" ref="AB11" ca="1">INDEX($D$2:$D$101,RANDBETWEEN(1,ROWS(AB12:AB110)))</f>
        <v>Bread Maker</v>
      </c>
      <c r="AC11" t="str">
        <f t="shared" ca="1" si="28"/>
        <v>Automatically bakes fresh bread</v>
      </c>
      <c r="AD11" t="str" cm="1">
        <f t="array" aca="1" ref="AD11" ca="1">INDEX($D$2:$D$101,RANDBETWEEN(1,ROWS(AD12:AD110)))</f>
        <v>Desktop Air Purifier</v>
      </c>
      <c r="AE11" t="str">
        <f t="shared" ca="1" si="29"/>
        <v>Compact purifier for desks</v>
      </c>
      <c r="AF11" t="str" cm="1">
        <f t="array" aca="1" ref="AF11" ca="1">INDEX($D$2:$D$101,RANDBETWEEN(1,ROWS(AF12:AF110)))</f>
        <v>HDMI Cable</v>
      </c>
      <c r="AG11" t="str">
        <f t="shared" ca="1" si="30"/>
        <v>Transfers audio/video signals</v>
      </c>
      <c r="AH11" t="str" cm="1">
        <f t="array" aca="1" ref="AH11" ca="1">INDEX($D$2:$D$101,RANDBETWEEN(1,ROWS(AH12:AH110)))</f>
        <v>Car Air Purifier</v>
      </c>
      <c r="AI11" t="str">
        <f t="shared" ca="1" si="31"/>
        <v>Filters air inside vehicles</v>
      </c>
      <c r="AJ11" t="str" cm="1">
        <f t="array" aca="1" ref="AJ11" ca="1">INDEX($D$2:$D$101,RANDBETWEEN(1,ROWS(AJ12:AJ110)))</f>
        <v>Smart Smoke Detector</v>
      </c>
      <c r="AK11" t="str">
        <f t="shared" ca="1" si="14"/>
        <v>Smoke alarm with smart alerts</v>
      </c>
      <c r="AL11" t="str" cm="1">
        <f t="array" aca="1" ref="AL11" ca="1">INDEX($D$2:$D$101,RANDBETWEEN(1,ROWS(AL12:AL110)))</f>
        <v>Magnetic Charging Cable</v>
      </c>
      <c r="AM11" t="str">
        <f t="shared" ca="1" si="32"/>
        <v>Detachable magnetic USB cable</v>
      </c>
      <c r="AN11" t="str" cm="1">
        <f t="array" aca="1" ref="AN11" ca="1">INDEX($D$2:$D$101,RANDBETWEEN(1,ROWS(AN12:AN110)))</f>
        <v>Callus Remover</v>
      </c>
      <c r="AO11" t="str">
        <f t="shared" ca="1" si="33"/>
        <v>Removes dead skin from feet</v>
      </c>
      <c r="AP11" t="str" cm="1">
        <f t="array" aca="1" ref="AP11" ca="1">INDEX($D$2:$D$101,RANDBETWEEN(1,ROWS(AP12:AP110)))</f>
        <v>Air Cooler</v>
      </c>
      <c r="AQ11" t="str">
        <f t="shared" ca="1" si="34"/>
        <v>Evaporative cooling appliance for rooms</v>
      </c>
    </row>
    <row r="12" spans="1:43" ht="20.5" customHeight="1" x14ac:dyDescent="0.3">
      <c r="A12" s="22">
        <v>111</v>
      </c>
      <c r="B12" t="s">
        <v>328</v>
      </c>
      <c r="C12" t="s">
        <v>50</v>
      </c>
      <c r="D12" s="1" t="s">
        <v>51</v>
      </c>
      <c r="E12" s="1" t="s">
        <v>52</v>
      </c>
      <c r="F12" t="str" cm="1">
        <f t="array" aca="1" ref="F12" ca="1">INDEX($D$2:$D$101,RANDBETWEEN(1,ROWS(F13:F111)))</f>
        <v>Motion Sensor Light</v>
      </c>
      <c r="G12" t="str">
        <f t="shared" ca="1" si="0"/>
        <v>Lights that activate on movement</v>
      </c>
      <c r="H12" t="str" cm="1">
        <f t="array" aca="1" ref="H12" ca="1">INDEX($D$2:$D$101,RANDBETWEEN(1,ROWS(H13:H111)))</f>
        <v>Rechargeable Torch</v>
      </c>
      <c r="I12" t="str">
        <f t="shared" ca="1" si="18"/>
        <v>Flashlight that can be recharged</v>
      </c>
      <c r="J12" t="str" cm="1">
        <f t="array" aca="1" ref="J12" ca="1">INDEX($D$2:$D$101,RANDBETWEEN(1,ROWS(J13:J111)))</f>
        <v>Robot Vacuum Cleaner</v>
      </c>
      <c r="K12" t="str">
        <f t="shared" ca="1" si="19"/>
        <v>Automated floor cleaning device</v>
      </c>
      <c r="L12" t="str" cm="1">
        <f t="array" aca="1" ref="L12" ca="1">INDEX($D$2:$D$101,RANDBETWEEN(1,ROWS(L13:L111)))</f>
        <v>Electric Egg Beater</v>
      </c>
      <c r="M12" t="str">
        <f t="shared" ca="1" si="20"/>
        <v>Handheld electric whisk for baking</v>
      </c>
      <c r="N12" t="str" cm="1">
        <f t="array" aca="1" ref="N12" ca="1">INDEX($D$2:$D$101,RANDBETWEEN(1,ROWS(N13:N111)))</f>
        <v>Smart Geyser</v>
      </c>
      <c r="O12" t="str">
        <f t="shared" ca="1" si="21"/>
        <v>Internet-connected water heater</v>
      </c>
      <c r="P12" t="str" cm="1">
        <f t="array" aca="1" ref="P12" ca="1">INDEX($D$2:$D$101,RANDBETWEEN(1,ROWS(P13:P111)))</f>
        <v>TV Wall Mount</v>
      </c>
      <c r="Q12" t="str">
        <f t="shared" ca="1" si="22"/>
        <v>Mounting bracket for flat TVs</v>
      </c>
      <c r="R12" t="str" cm="1">
        <f t="array" aca="1" ref="R12" ca="1">INDEX($D$2:$D$101,RANDBETWEEN(1,ROWS(R13:R111)))</f>
        <v>Kitchen Weighing Scale</v>
      </c>
      <c r="S12" t="str">
        <f t="shared" ca="1" si="23"/>
        <v>Measures food portions accurately</v>
      </c>
      <c r="T12" t="str" cm="1">
        <f t="array" aca="1" ref="T12" ca="1">INDEX($D$2:$D$101,RANDBETWEEN(1,ROWS(T13:T111)))</f>
        <v>Smart Alarm Clock</v>
      </c>
      <c r="U12" t="str">
        <f t="shared" ca="1" si="24"/>
        <v>Alarm with smart features like weather, music, and lights</v>
      </c>
      <c r="V12" t="str" cm="1">
        <f t="array" aca="1" ref="V12" ca="1">INDEX($D$2:$D$101,RANDBETWEEN(1,ROWS(V13:V111)))</f>
        <v>Facial Steamer</v>
      </c>
      <c r="W12" t="str">
        <f t="shared" ca="1" si="25"/>
        <v>Opens pores for skincare routine</v>
      </c>
      <c r="X12" t="str" cm="1">
        <f t="array" aca="1" ref="X12" ca="1">INDEX($D$2:$D$101,RANDBETWEEN(1,ROWS(X13:X111)))</f>
        <v>Laptop Stand</v>
      </c>
      <c r="Y12" t="str">
        <f t="shared" ca="1" si="26"/>
        <v>Raises laptop for ergonomic use</v>
      </c>
      <c r="Z12" t="str" cm="1">
        <f t="array" aca="1" ref="Z12" ca="1">INDEX($D$2:$D$101,RANDBETWEEN(1,ROWS(Z13:Z111)))</f>
        <v>Personal Neck Fan</v>
      </c>
      <c r="AA12" t="str">
        <f t="shared" ca="1" si="27"/>
        <v>Wearable fan for hands-free cooling</v>
      </c>
      <c r="AB12" t="str" cm="1">
        <f t="array" aca="1" ref="AB12" ca="1">INDEX($D$2:$D$101,RANDBETWEEN(1,ROWS(AB13:AB111)))</f>
        <v>Solar Garden Light</v>
      </c>
      <c r="AC12" t="str">
        <f t="shared" ca="1" si="28"/>
        <v>Solar-powered outdoor lighting</v>
      </c>
      <c r="AD12" t="str" cm="1">
        <f t="array" aca="1" ref="AD12" ca="1">INDEX($D$2:$D$101,RANDBETWEEN(1,ROWS(AD13:AD111)))</f>
        <v>Magnetic Charging Cable</v>
      </c>
      <c r="AE12" t="str">
        <f t="shared" ca="1" si="29"/>
        <v>Detachable magnetic USB cable</v>
      </c>
      <c r="AF12" t="str" cm="1">
        <f t="array" aca="1" ref="AF12" ca="1">INDEX($D$2:$D$101,RANDBETWEEN(1,ROWS(AF13:AF111)))</f>
        <v>Room Heater</v>
      </c>
      <c r="AG12" t="str">
        <f t="shared" ca="1" si="30"/>
        <v>Electric heater for indoor heating</v>
      </c>
      <c r="AH12" t="str" cm="1">
        <f t="array" aca="1" ref="AH12" ca="1">INDEX($D$2:$D$101,RANDBETWEEN(1,ROWS(AH13:AH111)))</f>
        <v>Portable Power Station</v>
      </c>
      <c r="AI12" t="str">
        <f t="shared" ca="1" si="31"/>
        <v>Rechargeable power supply for outdoors</v>
      </c>
      <c r="AJ12" t="str" cm="1">
        <f t="array" aca="1" ref="AJ12" ca="1">INDEX($D$2:$D$101,RANDBETWEEN(1,ROWS(AJ13:AJ111)))</f>
        <v>Portable Car Heater</v>
      </c>
      <c r="AK12" t="str">
        <f t="shared" ca="1" si="14"/>
        <v>12V heater for car interiors</v>
      </c>
      <c r="AL12" t="str" cm="1">
        <f t="array" aca="1" ref="AL12" ca="1">INDEX($D$2:$D$101,RANDBETWEEN(1,ROWS(AL13:AL111)))</f>
        <v>Bluetooth Transmitter</v>
      </c>
      <c r="AM12" t="str">
        <f t="shared" ca="1" si="32"/>
        <v>Sends audio to Bluetooth devices</v>
      </c>
      <c r="AN12" t="str" cm="1">
        <f t="array" aca="1" ref="AN12" ca="1">INDEX($D$2:$D$101,RANDBETWEEN(1,ROWS(AN13:AN111)))</f>
        <v>Smart Smoke Detector</v>
      </c>
      <c r="AO12" t="str">
        <f t="shared" ca="1" si="33"/>
        <v>Smoke alarm with smart alerts</v>
      </c>
      <c r="AP12" t="str" cm="1">
        <f t="array" aca="1" ref="AP12" ca="1">INDEX($D$2:$D$101,RANDBETWEEN(1,ROWS(AP13:AP111)))</f>
        <v>Digital Multimeter</v>
      </c>
      <c r="AQ12" t="str">
        <f t="shared" ca="1" si="34"/>
        <v>Measures voltage, current, resistance</v>
      </c>
    </row>
    <row r="13" spans="1:43" ht="20.5" customHeight="1" x14ac:dyDescent="0.3">
      <c r="A13" s="22">
        <v>112</v>
      </c>
      <c r="B13" t="s">
        <v>329</v>
      </c>
      <c r="C13" t="s">
        <v>53</v>
      </c>
      <c r="D13" s="1" t="s">
        <v>54</v>
      </c>
      <c r="E13" s="1" t="s">
        <v>55</v>
      </c>
      <c r="F13" t="str" cm="1">
        <f t="array" aca="1" ref="F13" ca="1">INDEX($D$2:$D$101,RANDBETWEEN(1,ROWS(F14:F112)))</f>
        <v>Dashcam Rear Camera</v>
      </c>
      <c r="G13" t="str">
        <f t="shared" ca="1" si="0"/>
        <v>Rear view recording for vehicles</v>
      </c>
      <c r="H13" t="str" cm="1">
        <f t="array" aca="1" ref="H13" ca="1">INDEX($D$2:$D$101,RANDBETWEEN(1,ROWS(H14:H112)))</f>
        <v>Indoor Thermometer</v>
      </c>
      <c r="I13" t="str">
        <f t="shared" ca="1" si="18"/>
        <v>Displays indoor temperature</v>
      </c>
      <c r="J13" t="str" cm="1">
        <f t="array" aca="1" ref="J13" ca="1">INDEX($D$2:$D$101,RANDBETWEEN(1,ROWS(J14:J112)))</f>
        <v>Automatic Hand Sanitizer</v>
      </c>
      <c r="K13" t="str">
        <f t="shared" ca="1" si="19"/>
        <v>Touchless sanitizer dispenser</v>
      </c>
      <c r="L13" t="str" cm="1">
        <f t="array" aca="1" ref="L13" ca="1">INDEX($D$2:$D$101,RANDBETWEEN(1,ROWS(L14:L112)))</f>
        <v>Milk Frother</v>
      </c>
      <c r="M13" t="str">
        <f t="shared" ca="1" si="20"/>
        <v>Froths milk for lattes and cappuccinos</v>
      </c>
      <c r="N13" t="str" cm="1">
        <f t="array" aca="1" ref="N13" ca="1">INDEX($D$2:$D$101,RANDBETWEEN(1,ROWS(N14:N112)))</f>
        <v>Crepe Maker</v>
      </c>
      <c r="O13" t="str">
        <f t="shared" ca="1" si="21"/>
        <v>Electric pan for making crepes</v>
      </c>
      <c r="P13" t="str" cm="1">
        <f t="array" aca="1" ref="P13" ca="1">INDEX($D$2:$D$101,RANDBETWEEN(1,ROWS(P14:P112)))</f>
        <v>Ultrasonic Humidifier</v>
      </c>
      <c r="Q13" t="str">
        <f t="shared" ca="1" si="22"/>
        <v>Mist-based humidifier using ultrasonic vibrations</v>
      </c>
      <c r="R13" t="str" cm="1">
        <f t="array" aca="1" ref="R13" ca="1">INDEX($D$2:$D$101,RANDBETWEEN(1,ROWS(R14:R112)))</f>
        <v>Smart Ceiling Light</v>
      </c>
      <c r="S13" t="str">
        <f t="shared" ca="1" si="23"/>
        <v>Wi-Fi-enabled, color-changing ceiling light</v>
      </c>
      <c r="T13" t="str" cm="1">
        <f t="array" aca="1" ref="T13" ca="1">INDEX($D$2:$D$101,RANDBETWEEN(1,ROWS(T14:T112)))</f>
        <v>Air Humidifier with Light</v>
      </c>
      <c r="U13" t="str">
        <f t="shared" ca="1" si="24"/>
        <v>Adds moisture and includes night light feature</v>
      </c>
      <c r="V13" t="str" cm="1">
        <f t="array" aca="1" ref="V13" ca="1">INDEX($D$2:$D$101,RANDBETWEEN(1,ROWS(V14:V112)))</f>
        <v>Hygrometer</v>
      </c>
      <c r="W13" t="str">
        <f t="shared" ca="1" si="25"/>
        <v>Measures indoor humidity levels</v>
      </c>
      <c r="X13" t="str" cm="1">
        <f t="array" aca="1" ref="X13" ca="1">INDEX($D$2:$D$101,RANDBETWEEN(1,ROWS(X14:X112)))</f>
        <v>Smart Washing Machine</v>
      </c>
      <c r="Y13" t="str">
        <f t="shared" ca="1" si="26"/>
        <v>Wi-Fi-enabled washer with remote control options</v>
      </c>
      <c r="Z13" t="str" cm="1">
        <f t="array" aca="1" ref="Z13" ca="1">INDEX($D$2:$D$101,RANDBETWEEN(1,ROWS(Z14:Z112)))</f>
        <v>Motion Detector</v>
      </c>
      <c r="AA13" t="str">
        <f t="shared" ca="1" si="27"/>
        <v>Triggers alarm or light on motion detection</v>
      </c>
      <c r="AB13" t="str" cm="1">
        <f t="array" aca="1" ref="AB13" ca="1">INDEX($D$2:$D$101,RANDBETWEEN(1,ROWS(AB14:AB112)))</f>
        <v>Smart IR Remote</v>
      </c>
      <c r="AC13" t="str">
        <f t="shared" ca="1" si="28"/>
        <v>Controls appliances via smartphone</v>
      </c>
      <c r="AD13" t="str" cm="1">
        <f t="array" aca="1" ref="AD13" ca="1">INDEX($D$2:$D$101,RANDBETWEEN(1,ROWS(AD14:AD112)))</f>
        <v>Smart Washing Machine</v>
      </c>
      <c r="AE13" t="str">
        <f t="shared" ca="1" si="29"/>
        <v>Wi-Fi-enabled washer with remote control options</v>
      </c>
      <c r="AF13" t="str" cm="1">
        <f t="array" aca="1" ref="AF13" ca="1">INDEX($D$2:$D$101,RANDBETWEEN(1,ROWS(AF14:AF112)))</f>
        <v>Desktop Air Purifier</v>
      </c>
      <c r="AG13" t="str">
        <f t="shared" ca="1" si="30"/>
        <v>Compact purifier for desks</v>
      </c>
      <c r="AH13" t="str" cm="1">
        <f t="array" aca="1" ref="AH13" ca="1">INDEX($D$2:$D$101,RANDBETWEEN(1,ROWS(AH14:AH112)))</f>
        <v>Wi-Fi Range Extender</v>
      </c>
      <c r="AI13" t="str">
        <f t="shared" ca="1" si="31"/>
        <v>Boosts home Wi-Fi signal</v>
      </c>
      <c r="AJ13" t="str" cm="1">
        <f t="array" aca="1" ref="AJ13" ca="1">INDEX($D$2:$D$101,RANDBETWEEN(1,ROWS(AJ14:AJ112)))</f>
        <v>DisplayPort Cable</v>
      </c>
      <c r="AK13" t="str">
        <f t="shared" ca="1" si="14"/>
        <v>High-resolution monitor cable</v>
      </c>
      <c r="AL13" t="str" cm="1">
        <f t="array" aca="1" ref="AL13" ca="1">INDEX($D$2:$D$101,RANDBETWEEN(1,ROWS(AL14:AL112)))</f>
        <v>Laptop Stand</v>
      </c>
      <c r="AM13" t="str">
        <f t="shared" ca="1" si="32"/>
        <v>Raises laptop for ergonomic use</v>
      </c>
      <c r="AN13" t="str" cm="1">
        <f t="array" aca="1" ref="AN13" ca="1">INDEX($D$2:$D$101,RANDBETWEEN(1,ROWS(AN14:AN112)))</f>
        <v>Smart Mosquito Repeller</v>
      </c>
      <c r="AO13" t="str">
        <f t="shared" ca="1" si="33"/>
        <v>USB-powered electronic insect repeller</v>
      </c>
      <c r="AP13" t="str" cm="1">
        <f t="array" aca="1" ref="AP13" ca="1">INDEX($D$2:$D$101,RANDBETWEEN(1,ROWS(AP14:AP112)))</f>
        <v>Electric Facial Brush</v>
      </c>
      <c r="AQ13" t="str">
        <f t="shared" ca="1" si="34"/>
        <v>Cleansing brush for exfoliation</v>
      </c>
    </row>
    <row r="14" spans="1:43" ht="20.5" customHeight="1" x14ac:dyDescent="0.3">
      <c r="A14" s="22">
        <v>113</v>
      </c>
      <c r="B14" t="s">
        <v>330</v>
      </c>
      <c r="C14" t="s">
        <v>56</v>
      </c>
      <c r="D14" s="1" t="s">
        <v>57</v>
      </c>
      <c r="E14" s="1" t="s">
        <v>58</v>
      </c>
      <c r="F14" t="str" cm="1">
        <f t="array" aca="1" ref="F14" ca="1">INDEX($D$2:$D$101,RANDBETWEEN(1,ROWS(F15:F113)))</f>
        <v>Mesh Wi-Fi System</v>
      </c>
      <c r="G14" t="str">
        <f t="shared" ca="1" si="0"/>
        <v>Whole-home wireless coverage</v>
      </c>
      <c r="H14" t="str" cm="1">
        <f t="array" aca="1" ref="H14" ca="1">INDEX($D$2:$D$101,RANDBETWEEN(1,ROWS(H15:H113)))</f>
        <v>LED Desk Lamp</v>
      </c>
      <c r="I14" t="str">
        <f t="shared" ca="1" si="18"/>
        <v>Adjustable desk lamp with LED lighting</v>
      </c>
      <c r="J14" t="str" cm="1">
        <f t="array" aca="1" ref="J14" ca="1">INDEX($D$2:$D$101,RANDBETWEEN(1,ROWS(J15:J113)))</f>
        <v>Gas Leak Detector</v>
      </c>
      <c r="K14" t="str">
        <f t="shared" ca="1" si="19"/>
        <v>Detects gas leaks in the kitchen</v>
      </c>
      <c r="L14" t="str" cm="1">
        <f t="array" aca="1" ref="L14" ca="1">INDEX($D$2:$D$101,RANDBETWEEN(1,ROWS(L15:L113)))</f>
        <v>HDMI Cable</v>
      </c>
      <c r="M14" t="str">
        <f t="shared" ca="1" si="20"/>
        <v>Transfers audio/video signals</v>
      </c>
      <c r="N14" t="str" cm="1">
        <f t="array" aca="1" ref="N14" ca="1">INDEX($D$2:$D$101,RANDBETWEEN(1,ROWS(N15:N113)))</f>
        <v>TV Wall Mount</v>
      </c>
      <c r="O14" t="str">
        <f t="shared" ca="1" si="21"/>
        <v>Mounting bracket for flat TVs</v>
      </c>
      <c r="P14" t="str" cm="1">
        <f t="array" aca="1" ref="P14" ca="1">INDEX($D$2:$D$101,RANDBETWEEN(1,ROWS(P15:P113)))</f>
        <v>Soundbar</v>
      </c>
      <c r="Q14" t="str">
        <f t="shared" ca="1" si="22"/>
        <v>Compact speaker bar for TVs</v>
      </c>
      <c r="R14" t="str" cm="1">
        <f t="array" aca="1" ref="R14" ca="1">INDEX($D$2:$D$101,RANDBETWEEN(1,ROWS(R15:R113)))</f>
        <v>Smart Smoke Detector</v>
      </c>
      <c r="S14" t="str">
        <f t="shared" ca="1" si="23"/>
        <v>Smoke alarm with smart alerts</v>
      </c>
      <c r="T14" t="str" cm="1">
        <f t="array" aca="1" ref="T14" ca="1">INDEX($D$2:$D$101,RANDBETWEEN(1,ROWS(T15:T113)))</f>
        <v>Electric Facial Brush</v>
      </c>
      <c r="U14" t="str">
        <f t="shared" ca="1" si="24"/>
        <v>Cleansing brush for exfoliation</v>
      </c>
      <c r="V14" t="str" cm="1">
        <f t="array" aca="1" ref="V14" ca="1">INDEX($D$2:$D$101,RANDBETWEEN(1,ROWS(V15:V113)))</f>
        <v>Bread Maker</v>
      </c>
      <c r="W14" t="str">
        <f t="shared" ca="1" si="25"/>
        <v>Automatically bakes fresh bread</v>
      </c>
      <c r="X14" t="str" cm="1">
        <f t="array" aca="1" ref="X14" ca="1">INDEX($D$2:$D$101,RANDBETWEEN(1,ROWS(X15:X113)))</f>
        <v>Digital Multimeter</v>
      </c>
      <c r="Y14" t="str">
        <f t="shared" ca="1" si="26"/>
        <v>Measures voltage, current, resistance</v>
      </c>
      <c r="Z14" t="str" cm="1">
        <f t="array" aca="1" ref="Z14" ca="1">INDEX($D$2:$D$101,RANDBETWEEN(1,ROWS(Z15:Z113)))</f>
        <v>Smart IR Remote</v>
      </c>
      <c r="AA14" t="str">
        <f t="shared" ca="1" si="27"/>
        <v>Controls appliances via smartphone</v>
      </c>
      <c r="AB14" t="str" cm="1">
        <f t="array" aca="1" ref="AB14" ca="1">INDEX($D$2:$D$101,RANDBETWEEN(1,ROWS(AB15:AB113)))</f>
        <v>Milk Frother</v>
      </c>
      <c r="AC14" t="str">
        <f t="shared" ca="1" si="28"/>
        <v>Froths milk for lattes and cappuccinos</v>
      </c>
      <c r="AD14" t="str" cm="1">
        <f t="array" aca="1" ref="AD14" ca="1">INDEX($D$2:$D$101,RANDBETWEEN(1,ROWS(AD15:AD113)))</f>
        <v>Smart Air Conditioner</v>
      </c>
      <c r="AE14" t="str">
        <f t="shared" ca="1" si="29"/>
        <v>AC unit controllable via smartphone or voice</v>
      </c>
      <c r="AF14" t="str" cm="1">
        <f t="array" aca="1" ref="AF14" ca="1">INDEX($D$2:$D$101,RANDBETWEEN(1,ROWS(AF15:AF113)))</f>
        <v>Bread Maker</v>
      </c>
      <c r="AG14" t="str">
        <f t="shared" ca="1" si="30"/>
        <v>Automatically bakes fresh bread</v>
      </c>
      <c r="AH14" t="str" cm="1">
        <f t="array" aca="1" ref="AH14" ca="1">INDEX($D$2:$D$101,RANDBETWEEN(1,ROWS(AH15:AH113)))</f>
        <v>Electric Facial Brush</v>
      </c>
      <c r="AI14" t="str">
        <f t="shared" ca="1" si="31"/>
        <v>Cleansing brush for exfoliation</v>
      </c>
      <c r="AJ14" t="str" cm="1">
        <f t="array" aca="1" ref="AJ14" ca="1">INDEX($D$2:$D$101,RANDBETWEEN(1,ROWS(AJ15:AJ113)))</f>
        <v>HDMI Switch</v>
      </c>
      <c r="AK14" t="str">
        <f t="shared" ca="1" si="14"/>
        <v>Connects multiple HDMI devices</v>
      </c>
      <c r="AL14" t="str" cm="1">
        <f t="array" aca="1" ref="AL14" ca="1">INDEX($D$2:$D$101,RANDBETWEEN(1,ROWS(AL15:AL113)))</f>
        <v>Electric Egg Beater</v>
      </c>
      <c r="AM14" t="str">
        <f t="shared" ca="1" si="32"/>
        <v>Handheld electric whisk for baking</v>
      </c>
      <c r="AN14" t="str" cm="1">
        <f t="array" aca="1" ref="AN14" ca="1">INDEX($D$2:$D$101,RANDBETWEEN(1,ROWS(AN15:AN113)))</f>
        <v>Bread Maker</v>
      </c>
      <c r="AO14" t="str">
        <f t="shared" ca="1" si="33"/>
        <v>Automatically bakes fresh bread</v>
      </c>
      <c r="AP14" t="str" cm="1">
        <f t="array" aca="1" ref="AP14" ca="1">INDEX($D$2:$D$101,RANDBETWEEN(1,ROWS(AP15:AP113)))</f>
        <v>Kitchen Weighing Scale</v>
      </c>
      <c r="AQ14" t="str">
        <f t="shared" ca="1" si="34"/>
        <v>Measures food portions accurately</v>
      </c>
    </row>
    <row r="15" spans="1:43" ht="20.5" customHeight="1" x14ac:dyDescent="0.3">
      <c r="A15" s="22">
        <v>114</v>
      </c>
      <c r="B15" t="s">
        <v>331</v>
      </c>
      <c r="C15" t="s">
        <v>59</v>
      </c>
      <c r="D15" s="1" t="s">
        <v>60</v>
      </c>
      <c r="E15" s="1" t="s">
        <v>61</v>
      </c>
      <c r="F15" t="str" cm="1">
        <f t="array" aca="1" ref="F15" ca="1">INDEX($D$2:$D$101,RANDBETWEEN(1,ROWS(F16:F114)))</f>
        <v>Bread Maker</v>
      </c>
      <c r="G15" t="str">
        <f t="shared" ca="1" si="0"/>
        <v>Automatically bakes fresh bread</v>
      </c>
      <c r="H15" t="str" cm="1">
        <f t="array" aca="1" ref="H15" ca="1">INDEX($D$2:$D$101,RANDBETWEEN(1,ROWS(H16:H114)))</f>
        <v>Gas Leak Detector</v>
      </c>
      <c r="I15" t="str">
        <f t="shared" ca="1" si="18"/>
        <v>Detects gas leaks in the kitchen</v>
      </c>
      <c r="J15" t="str" cm="1">
        <f t="array" aca="1" ref="J15" ca="1">INDEX($D$2:$D$101,RANDBETWEEN(1,ROWS(J16:J114)))</f>
        <v>Yogurt Maker</v>
      </c>
      <c r="K15" t="str">
        <f t="shared" ca="1" si="19"/>
        <v>Home appliance for making yogurt</v>
      </c>
      <c r="L15" t="str" cm="1">
        <f t="array" aca="1" ref="L15" ca="1">INDEX($D$2:$D$101,RANDBETWEEN(1,ROWS(L16:L114)))</f>
        <v>HDMI Switch</v>
      </c>
      <c r="M15" t="str">
        <f t="shared" ca="1" si="20"/>
        <v>Connects multiple HDMI devices</v>
      </c>
      <c r="N15" t="str" cm="1">
        <f t="array" aca="1" ref="N15" ca="1">INDEX($D$2:$D$101,RANDBETWEEN(1,ROWS(N16:N114)))</f>
        <v>Smart Air Conditioner</v>
      </c>
      <c r="O15" t="str">
        <f t="shared" ca="1" si="21"/>
        <v>AC unit controllable via smartphone or voice</v>
      </c>
      <c r="P15" t="str" cm="1">
        <f t="array" aca="1" ref="P15" ca="1">INDEX($D$2:$D$101,RANDBETWEEN(1,ROWS(P16:P114)))</f>
        <v>Bread Maker</v>
      </c>
      <c r="Q15" t="str">
        <f t="shared" ca="1" si="22"/>
        <v>Automatically bakes fresh bread</v>
      </c>
      <c r="R15" t="str" cm="1">
        <f t="array" aca="1" ref="R15" ca="1">INDEX($D$2:$D$101,RANDBETWEEN(1,ROWS(R16:R114)))</f>
        <v>Facial Steamer</v>
      </c>
      <c r="S15" t="str">
        <f t="shared" ca="1" si="23"/>
        <v>Opens pores for skincare routine</v>
      </c>
      <c r="T15" t="str" cm="1">
        <f t="array" aca="1" ref="T15" ca="1">INDEX($D$2:$D$101,RANDBETWEEN(1,ROWS(T16:T114)))</f>
        <v>Smart Weighing Scale</v>
      </c>
      <c r="U15" t="str">
        <f t="shared" ca="1" si="24"/>
        <v>Body scale with app sync and health data</v>
      </c>
      <c r="V15" t="str" cm="1">
        <f t="array" aca="1" ref="V15" ca="1">INDEX($D$2:$D$101,RANDBETWEEN(1,ROWS(V16:V114)))</f>
        <v>Automatic Hand Sanitizer</v>
      </c>
      <c r="W15" t="str">
        <f t="shared" ca="1" si="25"/>
        <v>Touchless sanitizer dispenser</v>
      </c>
      <c r="X15" t="str" cm="1">
        <f t="array" aca="1" ref="X15" ca="1">INDEX($D$2:$D$101,RANDBETWEEN(1,ROWS(X16:X114)))</f>
        <v>Inverter AC</v>
      </c>
      <c r="Y15" t="str">
        <f t="shared" ca="1" si="26"/>
        <v>Energy-efficient air conditioner</v>
      </c>
      <c r="Z15" t="str" cm="1">
        <f t="array" aca="1" ref="Z15" ca="1">INDEX($D$2:$D$101,RANDBETWEEN(1,ROWS(Z16:Z114)))</f>
        <v>Extension Board with USB</v>
      </c>
      <c r="AA15" t="str">
        <f t="shared" ca="1" si="27"/>
        <v>Power strip with USB charging ports</v>
      </c>
      <c r="AB15" t="str" cm="1">
        <f t="array" aca="1" ref="AB15" ca="1">INDEX($D$2:$D$101,RANDBETWEEN(1,ROWS(AB16:AB114)))</f>
        <v>Smart Energy Monitor</v>
      </c>
      <c r="AC15" t="str">
        <f t="shared" ca="1" si="28"/>
        <v>Tracks power consumption in real-time</v>
      </c>
      <c r="AD15" t="str" cm="1">
        <f t="array" aca="1" ref="AD15" ca="1">INDEX($D$2:$D$101,RANDBETWEEN(1,ROWS(AD16:AD114)))</f>
        <v>Water Dispenser</v>
      </c>
      <c r="AE15" t="str">
        <f t="shared" ca="1" si="29"/>
        <v>Dispenses hot and cold water</v>
      </c>
      <c r="AF15" t="str" cm="1">
        <f t="array" aca="1" ref="AF15" ca="1">INDEX($D$2:$D$101,RANDBETWEEN(1,ROWS(AF16:AF114)))</f>
        <v>Portable Car Heater</v>
      </c>
      <c r="AG15" t="str">
        <f t="shared" ca="1" si="30"/>
        <v>12V heater for car interiors</v>
      </c>
      <c r="AH15" t="str" cm="1">
        <f t="array" aca="1" ref="AH15" ca="1">INDEX($D$2:$D$101,RANDBETWEEN(1,ROWS(AH16:AH114)))</f>
        <v>Bluetooth Transmitter</v>
      </c>
      <c r="AI15" t="str">
        <f t="shared" ca="1" si="31"/>
        <v>Sends audio to Bluetooth devices</v>
      </c>
      <c r="AJ15" t="str" cm="1">
        <f t="array" aca="1" ref="AJ15" ca="1">INDEX($D$2:$D$101,RANDBETWEEN(1,ROWS(AJ16:AJ114)))</f>
        <v>Bluetooth Transmitter</v>
      </c>
      <c r="AK15" t="str">
        <f t="shared" ca="1" si="14"/>
        <v>Sends audio to Bluetooth devices</v>
      </c>
      <c r="AL15" t="str" cm="1">
        <f t="array" aca="1" ref="AL15" ca="1">INDEX($D$2:$D$101,RANDBETWEEN(1,ROWS(AL16:AL114)))</f>
        <v>Milk Frother</v>
      </c>
      <c r="AM15" t="str">
        <f t="shared" ca="1" si="32"/>
        <v>Froths milk for lattes and cappuccinos</v>
      </c>
      <c r="AN15" t="str" cm="1">
        <f t="array" aca="1" ref="AN15" ca="1">INDEX($D$2:$D$101,RANDBETWEEN(1,ROWS(AN16:AN114)))</f>
        <v>Mini Fridge</v>
      </c>
      <c r="AO15" t="str">
        <f t="shared" ca="1" si="33"/>
        <v>Compact refrigerator for beverages</v>
      </c>
      <c r="AP15" t="str" cm="1">
        <f t="array" aca="1" ref="AP15" ca="1">INDEX($D$2:$D$101,RANDBETWEEN(1,ROWS(AP16:AP114)))</f>
        <v>Electric Grill</v>
      </c>
      <c r="AQ15" t="str">
        <f t="shared" ca="1" si="34"/>
        <v>Indoor grill for meat and vegetables</v>
      </c>
    </row>
    <row r="16" spans="1:43" ht="20.5" customHeight="1" x14ac:dyDescent="0.3">
      <c r="A16" s="22">
        <v>115</v>
      </c>
      <c r="B16" t="s">
        <v>332</v>
      </c>
      <c r="C16" t="s">
        <v>62</v>
      </c>
      <c r="D16" s="1" t="s">
        <v>63</v>
      </c>
      <c r="E16" s="1" t="s">
        <v>64</v>
      </c>
      <c r="F16" t="str" cm="1">
        <f t="array" aca="1" ref="F16" ca="1">INDEX($D$2:$D$101,RANDBETWEEN(1,ROWS(F17:F115)))</f>
        <v>Bluetooth Alarm Clock</v>
      </c>
      <c r="G16" t="str">
        <f t="shared" ca="1" si="0"/>
        <v>Combines alarm with Bluetooth speaker</v>
      </c>
      <c r="H16" t="str" cm="1">
        <f t="array" aca="1" ref="H16" ca="1">INDEX($D$2:$D$101,RANDBETWEEN(1,ROWS(H17:H115)))</f>
        <v>Yogurt Maker</v>
      </c>
      <c r="I16" t="str">
        <f t="shared" ca="1" si="18"/>
        <v>Home appliance for making yogurt</v>
      </c>
      <c r="J16" t="str" cm="1">
        <f t="array" aca="1" ref="J16" ca="1">INDEX($D$2:$D$101,RANDBETWEEN(1,ROWS(J17:J115)))</f>
        <v>Tower Fan</v>
      </c>
      <c r="K16" t="str">
        <f t="shared" ca="1" si="19"/>
        <v>Space-saving vertical fan</v>
      </c>
      <c r="L16" t="str" cm="1">
        <f t="array" aca="1" ref="L16" ca="1">INDEX($D$2:$D$101,RANDBETWEEN(1,ROWS(L17:L115)))</f>
        <v>Smart Washing Machine</v>
      </c>
      <c r="M16" t="str">
        <f t="shared" ca="1" si="20"/>
        <v>Wi-Fi-enabled washer with remote control options</v>
      </c>
      <c r="N16" t="str" cm="1">
        <f t="array" aca="1" ref="N16" ca="1">INDEX($D$2:$D$101,RANDBETWEEN(1,ROWS(N17:N115)))</f>
        <v>Smart Washing Machine</v>
      </c>
      <c r="O16" t="str">
        <f t="shared" ca="1" si="21"/>
        <v>Wi-Fi-enabled washer with remote control options</v>
      </c>
      <c r="P16" t="str" cm="1">
        <f t="array" aca="1" ref="P16" ca="1">INDEX($D$2:$D$101,RANDBETWEEN(1,ROWS(P17:P115)))</f>
        <v>Milk Frother</v>
      </c>
      <c r="Q16" t="str">
        <f t="shared" ca="1" si="22"/>
        <v>Froths milk for lattes and cappuccinos</v>
      </c>
      <c r="R16" t="str" cm="1">
        <f t="array" aca="1" ref="R16" ca="1">INDEX($D$2:$D$101,RANDBETWEEN(1,ROWS(R17:R115)))</f>
        <v>Hair Removal Epilator</v>
      </c>
      <c r="S16" t="str">
        <f t="shared" ca="1" si="23"/>
        <v>Plucks hair from root electrically</v>
      </c>
      <c r="T16" t="str" cm="1">
        <f t="array" aca="1" ref="T16" ca="1">INDEX($D$2:$D$101,RANDBETWEEN(1,ROWS(T17:T115)))</f>
        <v>Air Cooler</v>
      </c>
      <c r="U16" t="str">
        <f t="shared" ca="1" si="24"/>
        <v>Evaporative cooling appliance for rooms</v>
      </c>
      <c r="V16" t="str" cm="1">
        <f t="array" aca="1" ref="V16" ca="1">INDEX($D$2:$D$101,RANDBETWEEN(1,ROWS(V17:V115)))</f>
        <v>Smart Air Conditioner</v>
      </c>
      <c r="W16" t="str">
        <f t="shared" ca="1" si="25"/>
        <v>AC unit controllable via smartphone or voice</v>
      </c>
      <c r="X16" t="str" cm="1">
        <f t="array" aca="1" ref="X16" ca="1">INDEX($D$2:$D$101,RANDBETWEEN(1,ROWS(X17:X115)))</f>
        <v>HDMI Cable</v>
      </c>
      <c r="Y16" t="str">
        <f t="shared" ca="1" si="26"/>
        <v>Transfers audio/video signals</v>
      </c>
      <c r="Z16" t="str" cm="1">
        <f t="array" aca="1" ref="Z16" ca="1">INDEX($D$2:$D$101,RANDBETWEEN(1,ROWS(Z17:Z115)))</f>
        <v>Inverter AC</v>
      </c>
      <c r="AA16" t="str">
        <f t="shared" ca="1" si="27"/>
        <v>Energy-efficient air conditioner</v>
      </c>
      <c r="AB16" t="str" cm="1">
        <f t="array" aca="1" ref="AB16" ca="1">INDEX($D$2:$D$101,RANDBETWEEN(1,ROWS(AB17:AB115)))</f>
        <v>Mini Fridge</v>
      </c>
      <c r="AC16" t="str">
        <f t="shared" ca="1" si="28"/>
        <v>Compact refrigerator for beverages</v>
      </c>
      <c r="AD16" t="str" cm="1">
        <f t="array" aca="1" ref="AD16" ca="1">INDEX($D$2:$D$101,RANDBETWEEN(1,ROWS(AD17:AD115)))</f>
        <v>Cold Press Juicer</v>
      </c>
      <c r="AE16" t="str">
        <f t="shared" ca="1" si="29"/>
        <v>Slow juicer for better nutrient retention</v>
      </c>
      <c r="AF16" t="str" cm="1">
        <f t="array" aca="1" ref="AF16" ca="1">INDEX($D$2:$D$101,RANDBETWEEN(1,ROWS(AF17:AF115)))</f>
        <v>Smart Refrigerator</v>
      </c>
      <c r="AG16" t="str">
        <f t="shared" ca="1" si="30"/>
        <v>Internet-connected fridge with touchscreen and smart controls</v>
      </c>
      <c r="AH16" t="str" cm="1">
        <f t="array" aca="1" ref="AH16" ca="1">INDEX($D$2:$D$101,RANDBETWEEN(1,ROWS(AH17:AH115)))</f>
        <v>Wi-Fi Range Extender</v>
      </c>
      <c r="AI16" t="str">
        <f t="shared" ca="1" si="31"/>
        <v>Boosts home Wi-Fi signal</v>
      </c>
      <c r="AJ16" t="str" cm="1">
        <f t="array" aca="1" ref="AJ16" ca="1">INDEX($D$2:$D$101,RANDBETWEEN(1,ROWS(AJ17:AJ115)))</f>
        <v>Dashcam Rear Camera</v>
      </c>
      <c r="AK16" t="str">
        <f t="shared" ca="1" si="14"/>
        <v>Rear view recording for vehicles</v>
      </c>
      <c r="AL16" t="str" cm="1">
        <f t="array" aca="1" ref="AL16" ca="1">INDEX($D$2:$D$101,RANDBETWEEN(1,ROWS(AL17:AL115)))</f>
        <v>HDMI Cable</v>
      </c>
      <c r="AM16" t="str">
        <f t="shared" ca="1" si="32"/>
        <v>Transfers audio/video signals</v>
      </c>
      <c r="AN16" t="str" cm="1">
        <f t="array" aca="1" ref="AN16" ca="1">INDEX($D$2:$D$101,RANDBETWEEN(1,ROWS(AN17:AN115)))</f>
        <v>Indoor Thermometer</v>
      </c>
      <c r="AO16" t="str">
        <f t="shared" ca="1" si="33"/>
        <v>Displays indoor temperature</v>
      </c>
      <c r="AP16" t="str" cm="1">
        <f t="array" aca="1" ref="AP16" ca="1">INDEX($D$2:$D$101,RANDBETWEEN(1,ROWS(AP17:AP115)))</f>
        <v>Room Heater</v>
      </c>
      <c r="AQ16" t="str">
        <f t="shared" ca="1" si="34"/>
        <v>Electric heater for indoor heating</v>
      </c>
    </row>
    <row r="17" spans="1:43" ht="20.5" customHeight="1" x14ac:dyDescent="0.3">
      <c r="A17" s="22">
        <v>116</v>
      </c>
      <c r="B17" t="s">
        <v>333</v>
      </c>
      <c r="C17" t="s">
        <v>65</v>
      </c>
      <c r="D17" s="1" t="s">
        <v>66</v>
      </c>
      <c r="E17" s="1" t="s">
        <v>67</v>
      </c>
      <c r="F17" t="str" cm="1">
        <f t="array" aca="1" ref="F17" ca="1">INDEX($D$2:$D$101,RANDBETWEEN(1,ROWS(F18:F116)))</f>
        <v>Facial Steamer</v>
      </c>
      <c r="G17" t="str">
        <f t="shared" ca="1" si="0"/>
        <v>Opens pores for skincare routine</v>
      </c>
      <c r="H17" t="str" cm="1">
        <f t="array" aca="1" ref="H17" ca="1">INDEX($D$2:$D$101,RANDBETWEEN(1,ROWS(H18:H116)))</f>
        <v>Smart Washing Machine</v>
      </c>
      <c r="I17" t="str">
        <f t="shared" ca="1" si="18"/>
        <v>Wi-Fi-enabled washer with remote control options</v>
      </c>
      <c r="J17" t="str" cm="1">
        <f t="array" aca="1" ref="J17" ca="1">INDEX($D$2:$D$101,RANDBETWEEN(1,ROWS(J18:J116)))</f>
        <v>Smart Smoke Detector</v>
      </c>
      <c r="K17" t="str">
        <f t="shared" ca="1" si="19"/>
        <v>Smoke alarm with smart alerts</v>
      </c>
      <c r="L17" t="str" cm="1">
        <f t="array" aca="1" ref="L17" ca="1">INDEX($D$2:$D$101,RANDBETWEEN(1,ROWS(L18:L116)))</f>
        <v>Hygrometer</v>
      </c>
      <c r="M17" t="str">
        <f t="shared" ca="1" si="20"/>
        <v>Measures indoor humidity levels</v>
      </c>
      <c r="N17" t="str" cm="1">
        <f t="array" aca="1" ref="N17" ca="1">INDEX($D$2:$D$101,RANDBETWEEN(1,ROWS(N18:N116)))</f>
        <v>Foldable Hair Dryer</v>
      </c>
      <c r="O17" t="str">
        <f t="shared" ca="1" si="21"/>
        <v>Compact, travel-friendly hair dryer</v>
      </c>
      <c r="P17" t="str" cm="1">
        <f t="array" aca="1" ref="P17" ca="1">INDEX($D$2:$D$101,RANDBETWEEN(1,ROWS(P18:P116)))</f>
        <v>Bluetooth Alarm Clock</v>
      </c>
      <c r="Q17" t="str">
        <f t="shared" ca="1" si="22"/>
        <v>Combines alarm with Bluetooth speaker</v>
      </c>
      <c r="R17" t="str" cm="1">
        <f t="array" aca="1" ref="R17" ca="1">INDEX($D$2:$D$101,RANDBETWEEN(1,ROWS(R18:R116)))</f>
        <v>Bluetooth Alarm Clock</v>
      </c>
      <c r="S17" t="str">
        <f t="shared" ca="1" si="23"/>
        <v>Combines alarm with Bluetooth speaker</v>
      </c>
      <c r="T17" t="str" cm="1">
        <f t="array" aca="1" ref="T17" ca="1">INDEX($D$2:$D$101,RANDBETWEEN(1,ROWS(T18:T116)))</f>
        <v>UV Toothbrush Sterilizer</v>
      </c>
      <c r="U17" t="str">
        <f t="shared" ca="1" si="24"/>
        <v>Disinfects toothbrush using UV light</v>
      </c>
      <c r="V17" t="str" cm="1">
        <f t="array" aca="1" ref="V17" ca="1">INDEX($D$2:$D$101,RANDBETWEEN(1,ROWS(V18:V116)))</f>
        <v>Electric Facial Brush</v>
      </c>
      <c r="W17" t="str">
        <f t="shared" ca="1" si="25"/>
        <v>Cleansing brush for exfoliation</v>
      </c>
      <c r="X17" t="str" cm="1">
        <f t="array" aca="1" ref="X17" ca="1">INDEX($D$2:$D$101,RANDBETWEEN(1,ROWS(X18:X116)))</f>
        <v>Electric Facial Brush</v>
      </c>
      <c r="Y17" t="str">
        <f t="shared" ca="1" si="26"/>
        <v>Cleansing brush for exfoliation</v>
      </c>
      <c r="Z17" t="str" cm="1">
        <f t="array" aca="1" ref="Z17" ca="1">INDEX($D$2:$D$101,RANDBETWEEN(1,ROWS(Z18:Z116)))</f>
        <v>Smart Smoke Detector</v>
      </c>
      <c r="AA17" t="str">
        <f t="shared" ca="1" si="27"/>
        <v>Smoke alarm with smart alerts</v>
      </c>
      <c r="AB17" t="str" cm="1">
        <f t="array" aca="1" ref="AB17" ca="1">INDEX($D$2:$D$101,RANDBETWEEN(1,ROWS(AB18:AB116)))</f>
        <v>Robot Vacuum Cleaner</v>
      </c>
      <c r="AC17" t="str">
        <f t="shared" ca="1" si="28"/>
        <v>Automated floor cleaning device</v>
      </c>
      <c r="AD17" t="str" cm="1">
        <f t="array" aca="1" ref="AD17" ca="1">INDEX($D$2:$D$101,RANDBETWEEN(1,ROWS(AD18:AD116)))</f>
        <v>Automatic Hand Sanitizer</v>
      </c>
      <c r="AE17" t="str">
        <f t="shared" ca="1" si="29"/>
        <v>Touchless sanitizer dispenser</v>
      </c>
      <c r="AF17" t="str" cm="1">
        <f t="array" aca="1" ref="AF17" ca="1">INDEX($D$2:$D$101,RANDBETWEEN(1,ROWS(AF18:AF116)))</f>
        <v>UV Sterilizer Box</v>
      </c>
      <c r="AG17" t="str">
        <f t="shared" ca="1" si="30"/>
        <v>Disinfects small items using UV light</v>
      </c>
      <c r="AH17" t="str" cm="1">
        <f t="array" aca="1" ref="AH17" ca="1">INDEX($D$2:$D$101,RANDBETWEEN(1,ROWS(AH18:AH116)))</f>
        <v>Chimney Hood</v>
      </c>
      <c r="AI17" t="str">
        <f t="shared" ca="1" si="31"/>
        <v>Kitchen exhaust for smoke and fumes</v>
      </c>
      <c r="AJ17" t="str" cm="1">
        <f t="array" aca="1" ref="AJ17" ca="1">INDEX($D$2:$D$101,RANDBETWEEN(1,ROWS(AJ18:AJ116)))</f>
        <v>Smart Doorbell</v>
      </c>
      <c r="AK17" t="str">
        <f t="shared" ca="1" si="14"/>
        <v>Wi-Fi-enabled doorbell with camera and intercom</v>
      </c>
      <c r="AL17" t="str" cm="1">
        <f t="array" aca="1" ref="AL17" ca="1">INDEX($D$2:$D$101,RANDBETWEEN(1,ROWS(AL18:AL116)))</f>
        <v>Foldable Hair Dryer</v>
      </c>
      <c r="AM17" t="str">
        <f t="shared" ca="1" si="32"/>
        <v>Compact, travel-friendly hair dryer</v>
      </c>
      <c r="AN17" t="str" cm="1">
        <f t="array" aca="1" ref="AN17" ca="1">INDEX($D$2:$D$101,RANDBETWEEN(1,ROWS(AN18:AN116)))</f>
        <v>Personal Neck Fan</v>
      </c>
      <c r="AO17" t="str">
        <f t="shared" ca="1" si="33"/>
        <v>Wearable fan for hands-free cooling</v>
      </c>
      <c r="AP17" t="str" cm="1">
        <f t="array" aca="1" ref="AP17" ca="1">INDEX($D$2:$D$101,RANDBETWEEN(1,ROWS(AP18:AP116)))</f>
        <v>Roti Maker</v>
      </c>
      <c r="AQ17" t="str">
        <f t="shared" ca="1" si="34"/>
        <v>Flattens and cooks Indian flatbreads</v>
      </c>
    </row>
    <row r="18" spans="1:43" ht="20.5" customHeight="1" x14ac:dyDescent="0.3">
      <c r="A18" s="22">
        <v>117</v>
      </c>
      <c r="B18" t="s">
        <v>334</v>
      </c>
      <c r="C18" t="s">
        <v>68</v>
      </c>
      <c r="D18" s="1" t="s">
        <v>69</v>
      </c>
      <c r="E18" s="1" t="s">
        <v>70</v>
      </c>
      <c r="F18" t="str" cm="1">
        <f t="array" aca="1" ref="F18" ca="1">INDEX($D$2:$D$101,RANDBETWEEN(1,ROWS(F19:F117)))</f>
        <v>Espresso Machine</v>
      </c>
      <c r="G18" t="str">
        <f t="shared" ca="1" si="0"/>
        <v>Makes espresso coffee drinks</v>
      </c>
      <c r="H18" t="str" cm="1">
        <f t="array" aca="1" ref="H18" ca="1">INDEX($D$2:$D$101,RANDBETWEEN(1,ROWS(H19:H117)))</f>
        <v>Smart Weighing Scale</v>
      </c>
      <c r="I18" t="str">
        <f t="shared" ca="1" si="18"/>
        <v>Body scale with app sync and health data</v>
      </c>
      <c r="J18" t="str" cm="1">
        <f t="array" aca="1" ref="J18" ca="1">INDEX($D$2:$D$101,RANDBETWEEN(1,ROWS(J19:J117)))</f>
        <v>Smart Washing Machine</v>
      </c>
      <c r="K18" t="str">
        <f t="shared" ca="1" si="19"/>
        <v>Wi-Fi-enabled washer with remote control options</v>
      </c>
      <c r="L18" t="str" cm="1">
        <f t="array" aca="1" ref="L18" ca="1">INDEX($D$2:$D$101,RANDBETWEEN(1,ROWS(L19:L117)))</f>
        <v>Yogurt Maker</v>
      </c>
      <c r="M18" t="str">
        <f t="shared" ca="1" si="20"/>
        <v>Home appliance for making yogurt</v>
      </c>
      <c r="N18" t="str" cm="1">
        <f t="array" aca="1" ref="N18" ca="1">INDEX($D$2:$D$101,RANDBETWEEN(1,ROWS(N19:N117)))</f>
        <v>Wall-Mounted Fan</v>
      </c>
      <c r="O18" t="str">
        <f t="shared" ca="1" si="21"/>
        <v>Space-saving fan for wall mounting</v>
      </c>
      <c r="P18" t="str" cm="1">
        <f t="array" aca="1" ref="P18" ca="1">INDEX($D$2:$D$101,RANDBETWEEN(1,ROWS(P19:P117)))</f>
        <v>UV Sterilizer Box</v>
      </c>
      <c r="Q18" t="str">
        <f t="shared" ca="1" si="22"/>
        <v>Disinfects small items using UV light</v>
      </c>
      <c r="R18" t="str" cm="1">
        <f t="array" aca="1" ref="R18" ca="1">INDEX($D$2:$D$101,RANDBETWEEN(1,ROWS(R19:R117)))</f>
        <v>Automatic Hand Sanitizer</v>
      </c>
      <c r="S18" t="str">
        <f t="shared" ca="1" si="23"/>
        <v>Touchless sanitizer dispenser</v>
      </c>
      <c r="T18" t="str" cm="1">
        <f t="array" aca="1" ref="T18" ca="1">INDEX($D$2:$D$101,RANDBETWEEN(1,ROWS(T19:T117)))</f>
        <v>Smart Smoke Detector</v>
      </c>
      <c r="U18" t="str">
        <f t="shared" ca="1" si="24"/>
        <v>Smoke alarm with smart alerts</v>
      </c>
      <c r="V18" t="str" cm="1">
        <f t="array" aca="1" ref="V18" ca="1">INDEX($D$2:$D$101,RANDBETWEEN(1,ROWS(V19:V117)))</f>
        <v>Smart Geyser</v>
      </c>
      <c r="W18" t="str">
        <f t="shared" ca="1" si="25"/>
        <v>Internet-connected water heater</v>
      </c>
      <c r="X18" t="str" cm="1">
        <f t="array" aca="1" ref="X18" ca="1">INDEX($D$2:$D$101,RANDBETWEEN(1,ROWS(X19:X117)))</f>
        <v>Smart Alarm Clock</v>
      </c>
      <c r="Y18" t="str">
        <f t="shared" ca="1" si="26"/>
        <v>Alarm with smart features like weather, music, and lights</v>
      </c>
      <c r="Z18" t="str" cm="1">
        <f t="array" aca="1" ref="Z18" ca="1">INDEX($D$2:$D$101,RANDBETWEEN(1,ROWS(Z19:Z117)))</f>
        <v>Smart Energy Monitor</v>
      </c>
      <c r="AA18" t="str">
        <f t="shared" ca="1" si="27"/>
        <v>Tracks power consumption in real-time</v>
      </c>
      <c r="AB18" t="str" cm="1">
        <f t="array" aca="1" ref="AB18" ca="1">INDEX($D$2:$D$101,RANDBETWEEN(1,ROWS(AB19:AB117)))</f>
        <v>Cold Press Juicer</v>
      </c>
      <c r="AC18" t="str">
        <f t="shared" ca="1" si="28"/>
        <v>Slow juicer for better nutrient retention</v>
      </c>
      <c r="AD18" t="str" cm="1">
        <f t="array" aca="1" ref="AD18" ca="1">INDEX($D$2:$D$101,RANDBETWEEN(1,ROWS(AD19:AD117)))</f>
        <v>Rechargeable Torch</v>
      </c>
      <c r="AE18" t="str">
        <f t="shared" ca="1" si="29"/>
        <v>Flashlight that can be recharged</v>
      </c>
      <c r="AF18" t="str" cm="1">
        <f t="array" aca="1" ref="AF18" ca="1">INDEX($D$2:$D$101,RANDBETWEEN(1,ROWS(AF19:AF117)))</f>
        <v>Callus Remover</v>
      </c>
      <c r="AG18" t="str">
        <f t="shared" ca="1" si="30"/>
        <v>Removes dead skin from feet</v>
      </c>
      <c r="AH18" t="str" cm="1">
        <f t="array" aca="1" ref="AH18" ca="1">INDEX($D$2:$D$101,RANDBETWEEN(1,ROWS(AH19:AH117)))</f>
        <v>Cold Press Juicer</v>
      </c>
      <c r="AI18" t="str">
        <f t="shared" ca="1" si="31"/>
        <v>Slow juicer for better nutrient retention</v>
      </c>
      <c r="AJ18" t="str" cm="1">
        <f t="array" aca="1" ref="AJ18" ca="1">INDEX($D$2:$D$101,RANDBETWEEN(1,ROWS(AJ19:AJ117)))</f>
        <v>Room Heater</v>
      </c>
      <c r="AK18" t="str">
        <f t="shared" ca="1" si="14"/>
        <v>Electric heater for indoor heating</v>
      </c>
      <c r="AL18" t="str" cm="1">
        <f t="array" aca="1" ref="AL18" ca="1">INDEX($D$2:$D$101,RANDBETWEEN(1,ROWS(AL19:AL117)))</f>
        <v>Extension Board with USB</v>
      </c>
      <c r="AM18" t="str">
        <f t="shared" ca="1" si="32"/>
        <v>Power strip with USB charging ports</v>
      </c>
      <c r="AN18" t="str" cm="1">
        <f t="array" aca="1" ref="AN18" ca="1">INDEX($D$2:$D$101,RANDBETWEEN(1,ROWS(AN19:AN117)))</f>
        <v>Kitchen Timer</v>
      </c>
      <c r="AO18" t="str">
        <f t="shared" ca="1" si="33"/>
        <v>Digital countdown timer for cooking</v>
      </c>
      <c r="AP18" t="str" cm="1">
        <f t="array" aca="1" ref="AP18" ca="1">INDEX($D$2:$D$101,RANDBETWEEN(1,ROWS(AP19:AP117)))</f>
        <v>Hair Removal Epilator</v>
      </c>
      <c r="AQ18" t="str">
        <f t="shared" ca="1" si="34"/>
        <v>Plucks hair from root electrically</v>
      </c>
    </row>
    <row r="19" spans="1:43" ht="20.5" customHeight="1" x14ac:dyDescent="0.3">
      <c r="A19" s="22">
        <v>118</v>
      </c>
      <c r="B19" t="s">
        <v>335</v>
      </c>
      <c r="C19" t="s">
        <v>71</v>
      </c>
      <c r="D19" s="1" t="s">
        <v>72</v>
      </c>
      <c r="E19" s="1" t="s">
        <v>73</v>
      </c>
      <c r="F19" t="str" cm="1">
        <f t="array" aca="1" ref="F19" ca="1">INDEX($D$2:$D$101,RANDBETWEEN(1,ROWS(F20:F118)))</f>
        <v>Smart Alarm Clock</v>
      </c>
      <c r="G19" t="str">
        <f t="shared" ca="1" si="0"/>
        <v>Alarm with smart features like weather, music, and lights</v>
      </c>
      <c r="H19" t="str" cm="1">
        <f t="array" aca="1" ref="H19" ca="1">INDEX($D$2:$D$101,RANDBETWEEN(1,ROWS(H20:H118)))</f>
        <v>Pancake Maker</v>
      </c>
      <c r="I19" t="str">
        <f t="shared" ca="1" si="18"/>
        <v>Easy tool for making pancakes</v>
      </c>
      <c r="J19" t="str" cm="1">
        <f t="array" aca="1" ref="J19" ca="1">INDEX($D$2:$D$101,RANDBETWEEN(1,ROWS(J20:J118)))</f>
        <v>Emergency Solar Light</v>
      </c>
      <c r="K19" t="str">
        <f t="shared" ca="1" si="19"/>
        <v>Solar-powered backup light</v>
      </c>
      <c r="L19" t="str" cm="1">
        <f t="array" aca="1" ref="L19" ca="1">INDEX($D$2:$D$101,RANDBETWEEN(1,ROWS(L20:L118)))</f>
        <v>Mini Fridge</v>
      </c>
      <c r="M19" t="str">
        <f t="shared" ca="1" si="20"/>
        <v>Compact refrigerator for beverages</v>
      </c>
      <c r="N19" t="str" cm="1">
        <f t="array" aca="1" ref="N19" ca="1">INDEX($D$2:$D$101,RANDBETWEEN(1,ROWS(N20:N118)))</f>
        <v>Inverter AC</v>
      </c>
      <c r="O19" t="str">
        <f t="shared" ca="1" si="21"/>
        <v>Energy-efficient air conditioner</v>
      </c>
      <c r="P19" t="str" cm="1">
        <f t="array" aca="1" ref="P19" ca="1">INDEX($D$2:$D$101,RANDBETWEEN(1,ROWS(P20:P118)))</f>
        <v>Plug-in Night Light</v>
      </c>
      <c r="Q19" t="str">
        <f t="shared" ca="1" si="22"/>
        <v>Low-power night light for rooms</v>
      </c>
      <c r="R19" t="str" cm="1">
        <f t="array" aca="1" ref="R19" ca="1">INDEX($D$2:$D$101,RANDBETWEEN(1,ROWS(R20:R118)))</f>
        <v>HDMI Cable</v>
      </c>
      <c r="S19" t="str">
        <f t="shared" ca="1" si="23"/>
        <v>Transfers audio/video signals</v>
      </c>
      <c r="T19" t="str" cm="1">
        <f t="array" aca="1" ref="T19" ca="1">INDEX($D$2:$D$101,RANDBETWEEN(1,ROWS(T20:T118)))</f>
        <v>Tower Fan</v>
      </c>
      <c r="U19" t="str">
        <f t="shared" ca="1" si="24"/>
        <v>Space-saving vertical fan</v>
      </c>
      <c r="V19" t="str" cm="1">
        <f t="array" aca="1" ref="V19" ca="1">INDEX($D$2:$D$101,RANDBETWEEN(1,ROWS(V20:V118)))</f>
        <v>Subwoofer</v>
      </c>
      <c r="W19" t="str">
        <f t="shared" ca="1" si="25"/>
        <v>Deep bass audio speaker</v>
      </c>
      <c r="X19" t="str" cm="1">
        <f t="array" aca="1" ref="X19" ca="1">INDEX($D$2:$D$101,RANDBETWEEN(1,ROWS(X20:X118)))</f>
        <v>Room Heater</v>
      </c>
      <c r="Y19" t="str">
        <f t="shared" ca="1" si="26"/>
        <v>Electric heater for indoor heating</v>
      </c>
      <c r="Z19" t="str" cm="1">
        <f t="array" aca="1" ref="Z19" ca="1">INDEX($D$2:$D$101,RANDBETWEEN(1,ROWS(Z20:Z118)))</f>
        <v>Smart Alarm Clock</v>
      </c>
      <c r="AA19" t="str">
        <f t="shared" ca="1" si="27"/>
        <v>Alarm with smart features like weather, music, and lights</v>
      </c>
      <c r="AB19" t="str" cm="1">
        <f t="array" aca="1" ref="AB19" ca="1">INDEX($D$2:$D$101,RANDBETWEEN(1,ROWS(AB20:AB118)))</f>
        <v>Subwoofer</v>
      </c>
      <c r="AC19" t="str">
        <f t="shared" ca="1" si="28"/>
        <v>Deep bass audio speaker</v>
      </c>
      <c r="AD19" t="str" cm="1">
        <f t="array" aca="1" ref="AD19" ca="1">INDEX($D$2:$D$101,RANDBETWEEN(1,ROWS(AD20:AD118)))</f>
        <v>Smart Toothbrush</v>
      </c>
      <c r="AE19" t="str">
        <f t="shared" ca="1" si="29"/>
        <v>Electric brush with Bluetooth tracking</v>
      </c>
      <c r="AF19" t="str" cm="1">
        <f t="array" aca="1" ref="AF19" ca="1">INDEX($D$2:$D$101,RANDBETWEEN(1,ROWS(AF20:AF118)))</f>
        <v>Yogurt Maker</v>
      </c>
      <c r="AG19" t="str">
        <f t="shared" ca="1" si="30"/>
        <v>Home appliance for making yogurt</v>
      </c>
      <c r="AH19" t="str" cm="1">
        <f t="array" aca="1" ref="AH19" ca="1">INDEX($D$2:$D$101,RANDBETWEEN(1,ROWS(AH20:AH118)))</f>
        <v>Kitchen Weighing Scale</v>
      </c>
      <c r="AI19" t="str">
        <f t="shared" ca="1" si="31"/>
        <v>Measures food portions accurately</v>
      </c>
      <c r="AJ19" t="str" cm="1">
        <f t="array" aca="1" ref="AJ19" ca="1">INDEX($D$2:$D$101,RANDBETWEEN(1,ROWS(AJ20:AJ118)))</f>
        <v>Meat Grinder</v>
      </c>
      <c r="AK19" t="str">
        <f t="shared" ca="1" si="14"/>
        <v>Grinds meat for home cooking</v>
      </c>
      <c r="AL19" t="str" cm="1">
        <f t="array" aca="1" ref="AL19" ca="1">INDEX($D$2:$D$101,RANDBETWEEN(1,ROWS(AL20:AL118)))</f>
        <v>Personal Neck Fan</v>
      </c>
      <c r="AM19" t="str">
        <f t="shared" ca="1" si="32"/>
        <v>Wearable fan for hands-free cooling</v>
      </c>
      <c r="AN19" t="str" cm="1">
        <f t="array" aca="1" ref="AN19" ca="1">INDEX($D$2:$D$101,RANDBETWEEN(1,ROWS(AN20:AN118)))</f>
        <v>Smart Toothbrush</v>
      </c>
      <c r="AO19" t="str">
        <f t="shared" ca="1" si="33"/>
        <v>Electric brush with Bluetooth tracking</v>
      </c>
      <c r="AP19" t="str" cm="1">
        <f t="array" aca="1" ref="AP19" ca="1">INDEX($D$2:$D$101,RANDBETWEEN(1,ROWS(AP20:AP118)))</f>
        <v>Electric Grill</v>
      </c>
      <c r="AQ19" t="str">
        <f t="shared" ca="1" si="34"/>
        <v>Indoor grill for meat and vegetables</v>
      </c>
    </row>
    <row r="20" spans="1:43" ht="20.5" customHeight="1" x14ac:dyDescent="0.3">
      <c r="A20" s="22">
        <v>119</v>
      </c>
      <c r="B20" t="s">
        <v>336</v>
      </c>
      <c r="C20" t="s">
        <v>74</v>
      </c>
      <c r="D20" s="1" t="s">
        <v>75</v>
      </c>
      <c r="E20" s="1" t="s">
        <v>76</v>
      </c>
      <c r="F20" t="str" cm="1">
        <f t="array" aca="1" ref="F20" ca="1">INDEX($D$2:$D$101,RANDBETWEEN(1,ROWS(F21:F119)))</f>
        <v>Waffle Maker</v>
      </c>
      <c r="G20" t="str">
        <f t="shared" ca="1" si="0"/>
        <v>Makes waffles at home</v>
      </c>
      <c r="H20" t="str" cm="1">
        <f t="array" aca="1" ref="H20" ca="1">INDEX($D$2:$D$101,RANDBETWEEN(1,ROWS(H21:H119)))</f>
        <v>Ice Maker</v>
      </c>
      <c r="I20" t="str">
        <f t="shared" ca="1" si="18"/>
        <v>Machine that produces ice cubes automatically</v>
      </c>
      <c r="J20" t="str" cm="1">
        <f t="array" aca="1" ref="J20" ca="1">INDEX($D$2:$D$101,RANDBETWEEN(1,ROWS(J21:J119)))</f>
        <v>Smart Washing Machine</v>
      </c>
      <c r="K20" t="str">
        <f t="shared" ca="1" si="19"/>
        <v>Wi-Fi-enabled washer with remote control options</v>
      </c>
      <c r="L20" t="str" cm="1">
        <f t="array" aca="1" ref="L20" ca="1">INDEX($D$2:$D$101,RANDBETWEEN(1,ROWS(L21:L119)))</f>
        <v>Personal Neck Fan</v>
      </c>
      <c r="M20" t="str">
        <f t="shared" ca="1" si="20"/>
        <v>Wearable fan for hands-free cooling</v>
      </c>
      <c r="N20" t="str" cm="1">
        <f t="array" aca="1" ref="N20" ca="1">INDEX($D$2:$D$101,RANDBETWEEN(1,ROWS(N21:N119)))</f>
        <v>Crepe Maker</v>
      </c>
      <c r="O20" t="str">
        <f t="shared" ca="1" si="21"/>
        <v>Electric pan for making crepes</v>
      </c>
      <c r="P20" t="str" cm="1">
        <f t="array" aca="1" ref="P20" ca="1">INDEX($D$2:$D$101,RANDBETWEEN(1,ROWS(P21:P119)))</f>
        <v>Air Humidifier with Light</v>
      </c>
      <c r="Q20" t="str">
        <f t="shared" ca="1" si="22"/>
        <v>Adds moisture and includes night light feature</v>
      </c>
      <c r="R20" t="str" cm="1">
        <f t="array" aca="1" ref="R20" ca="1">INDEX($D$2:$D$101,RANDBETWEEN(1,ROWS(R21:R119)))</f>
        <v>Soundbar</v>
      </c>
      <c r="S20" t="str">
        <f t="shared" ca="1" si="23"/>
        <v>Compact speaker bar for TVs</v>
      </c>
      <c r="T20" t="str" cm="1">
        <f t="array" aca="1" ref="T20" ca="1">INDEX($D$2:$D$101,RANDBETWEEN(1,ROWS(T21:T119)))</f>
        <v>Electric Chopper</v>
      </c>
      <c r="U20" t="str">
        <f t="shared" ca="1" si="24"/>
        <v>Chops vegetables and fruits quickly</v>
      </c>
      <c r="V20" t="str" cm="1">
        <f t="array" aca="1" ref="V20" ca="1">INDEX($D$2:$D$101,RANDBETWEEN(1,ROWS(V21:V119)))</f>
        <v>Portable Induction Stove</v>
      </c>
      <c r="W20" t="str">
        <f t="shared" ca="1" si="25"/>
        <v>Lightweight induction stove for mobile cooking</v>
      </c>
      <c r="X20" t="str" cm="1">
        <f t="array" aca="1" ref="X20" ca="1">INDEX($D$2:$D$101,RANDBETWEEN(1,ROWS(X21:X119)))</f>
        <v>Solar Garden Light</v>
      </c>
      <c r="Y20" t="str">
        <f t="shared" ca="1" si="26"/>
        <v>Solar-powered outdoor lighting</v>
      </c>
      <c r="Z20" t="str" cm="1">
        <f t="array" aca="1" ref="Z20" ca="1">INDEX($D$2:$D$101,RANDBETWEEN(1,ROWS(Z21:Z119)))</f>
        <v>UV Sterilizer Box</v>
      </c>
      <c r="AA20" t="str">
        <f t="shared" ca="1" si="27"/>
        <v>Disinfects small items using UV light</v>
      </c>
      <c r="AB20" t="str" cm="1">
        <f t="array" aca="1" ref="AB20" ca="1">INDEX($D$2:$D$101,RANDBETWEEN(1,ROWS(AB21:AB119)))</f>
        <v>UV Sterilizer Box</v>
      </c>
      <c r="AC20" t="str">
        <f t="shared" ca="1" si="28"/>
        <v>Disinfects small items using UV light</v>
      </c>
      <c r="AD20" t="str" cm="1">
        <f t="array" aca="1" ref="AD20" ca="1">INDEX($D$2:$D$101,RANDBETWEEN(1,ROWS(AD21:AD119)))</f>
        <v>Smart Alarm Clock</v>
      </c>
      <c r="AE20" t="str">
        <f t="shared" ca="1" si="29"/>
        <v>Alarm with smart features like weather, music, and lights</v>
      </c>
      <c r="AF20" t="str" cm="1">
        <f t="array" aca="1" ref="AF20" ca="1">INDEX($D$2:$D$101,RANDBETWEEN(1,ROWS(AF21:AF119)))</f>
        <v>Electric Nail File Kit</v>
      </c>
      <c r="AG20" t="str">
        <f t="shared" ca="1" si="30"/>
        <v>For manicure and pedicure at home</v>
      </c>
      <c r="AH20" t="str" cm="1">
        <f t="array" aca="1" ref="AH20" ca="1">INDEX($D$2:$D$101,RANDBETWEEN(1,ROWS(AH21:AH119)))</f>
        <v>Electric Nail File Kit</v>
      </c>
      <c r="AI20" t="str">
        <f t="shared" ca="1" si="31"/>
        <v>For manicure and pedicure at home</v>
      </c>
      <c r="AJ20" t="str" cm="1">
        <f t="array" aca="1" ref="AJ20" ca="1">INDEX($D$2:$D$101,RANDBETWEEN(1,ROWS(AJ21:AJ119)))</f>
        <v>Callus Remover</v>
      </c>
      <c r="AK20" t="str">
        <f t="shared" ca="1" si="14"/>
        <v>Removes dead skin from feet</v>
      </c>
      <c r="AL20" t="str" cm="1">
        <f t="array" aca="1" ref="AL20" ca="1">INDEX($D$2:$D$101,RANDBETWEEN(1,ROWS(AL21:AL119)))</f>
        <v>Electric Nail File Kit</v>
      </c>
      <c r="AM20" t="str">
        <f t="shared" ca="1" si="32"/>
        <v>For manicure and pedicure at home</v>
      </c>
      <c r="AN20" t="str" cm="1">
        <f t="array" aca="1" ref="AN20" ca="1">INDEX($D$2:$D$101,RANDBETWEEN(1,ROWS(AN21:AN119)))</f>
        <v>Smart Air Conditioner</v>
      </c>
      <c r="AO20" t="str">
        <f t="shared" ca="1" si="33"/>
        <v>AC unit controllable via smartphone or voice</v>
      </c>
      <c r="AP20" t="str" cm="1">
        <f t="array" aca="1" ref="AP20" ca="1">INDEX($D$2:$D$101,RANDBETWEEN(1,ROWS(AP21:AP119)))</f>
        <v>Desktop Air Purifier</v>
      </c>
      <c r="AQ20" t="str">
        <f t="shared" ca="1" si="34"/>
        <v>Compact purifier for desks</v>
      </c>
    </row>
    <row r="21" spans="1:43" ht="20.5" customHeight="1" x14ac:dyDescent="0.3">
      <c r="A21" s="22">
        <v>120</v>
      </c>
      <c r="B21" t="s">
        <v>337</v>
      </c>
      <c r="C21" t="s">
        <v>77</v>
      </c>
      <c r="D21" s="1" t="s">
        <v>78</v>
      </c>
      <c r="E21" s="1" t="s">
        <v>79</v>
      </c>
      <c r="F21" t="str" cm="1">
        <f t="array" aca="1" ref="F21" ca="1">INDEX($D$2:$D$101,RANDBETWEEN(1,ROWS(F22:F120)))</f>
        <v>Plug-in Night Light</v>
      </c>
      <c r="G21" t="str">
        <f t="shared" ca="1" si="0"/>
        <v>Low-power night light for rooms</v>
      </c>
      <c r="H21" t="str" cm="1">
        <f t="array" aca="1" ref="H21" ca="1">INDEX($D$2:$D$101,RANDBETWEEN(1,ROWS(H22:H120)))</f>
        <v>Smart Microwave</v>
      </c>
      <c r="I21" t="str">
        <f t="shared" ca="1" si="18"/>
        <v>Microwave with voice or app control</v>
      </c>
      <c r="J21" t="str" cm="1">
        <f t="array" aca="1" ref="J21" ca="1">INDEX($D$2:$D$101,RANDBETWEEN(1,ROWS(J22:J120)))</f>
        <v>Pedestal Fan</v>
      </c>
      <c r="K21" t="str">
        <f t="shared" ca="1" si="19"/>
        <v>Adjustable stand fan for personal cooling</v>
      </c>
      <c r="L21" t="str" cm="1">
        <f t="array" aca="1" ref="L21" ca="1">INDEX($D$2:$D$101,RANDBETWEEN(1,ROWS(L22:L120)))</f>
        <v>Mini Bluetooth Receiver</v>
      </c>
      <c r="M21" t="str">
        <f t="shared" ca="1" si="20"/>
        <v>Adds Bluetooth to non-Bluetooth devices</v>
      </c>
      <c r="N21" t="str" cm="1">
        <f t="array" aca="1" ref="N21" ca="1">INDEX($D$2:$D$101,RANDBETWEEN(1,ROWS(N22:N120)))</f>
        <v>Heated Eyelash Curler</v>
      </c>
      <c r="O21" t="str">
        <f t="shared" ca="1" si="21"/>
        <v>Shapes eyelashes with gentle heat</v>
      </c>
      <c r="P21" t="str" cm="1">
        <f t="array" aca="1" ref="P21" ca="1">INDEX($D$2:$D$101,RANDBETWEEN(1,ROWS(P22:P120)))</f>
        <v>USB-C Docking Station</v>
      </c>
      <c r="Q21" t="str">
        <f t="shared" ca="1" si="22"/>
        <v>Expands ports for laptops</v>
      </c>
      <c r="R21" t="str" cm="1">
        <f t="array" aca="1" ref="R21" ca="1">INDEX($D$2:$D$101,RANDBETWEEN(1,ROWS(R22:R120)))</f>
        <v>Yogurt Maker</v>
      </c>
      <c r="S21" t="str">
        <f t="shared" ca="1" si="23"/>
        <v>Home appliance for making yogurt</v>
      </c>
      <c r="T21" t="str" cm="1">
        <f t="array" aca="1" ref="T21" ca="1">INDEX($D$2:$D$101,RANDBETWEEN(1,ROWS(T22:T120)))</f>
        <v>Magnetic Charging Cable</v>
      </c>
      <c r="U21" t="str">
        <f t="shared" ca="1" si="24"/>
        <v>Detachable magnetic USB cable</v>
      </c>
      <c r="V21" t="str" cm="1">
        <f t="array" aca="1" ref="V21" ca="1">INDEX($D$2:$D$101,RANDBETWEEN(1,ROWS(V22:V120)))</f>
        <v>DisplayPort Cable</v>
      </c>
      <c r="W21" t="str">
        <f t="shared" ca="1" si="25"/>
        <v>High-resolution monitor cable</v>
      </c>
      <c r="X21" t="str" cm="1">
        <f t="array" aca="1" ref="X21" ca="1">INDEX($D$2:$D$101,RANDBETWEEN(1,ROWS(X22:X120)))</f>
        <v>Smart Alarm Clock</v>
      </c>
      <c r="Y21" t="str">
        <f t="shared" ca="1" si="26"/>
        <v>Alarm with smart features like weather, music, and lights</v>
      </c>
      <c r="Z21" t="str" cm="1">
        <f t="array" aca="1" ref="Z21" ca="1">INDEX($D$2:$D$101,RANDBETWEEN(1,ROWS(Z22:Z120)))</f>
        <v>Automatic Hand Sanitizer</v>
      </c>
      <c r="AA21" t="str">
        <f t="shared" ca="1" si="27"/>
        <v>Touchless sanitizer dispenser</v>
      </c>
      <c r="AB21" t="str" cm="1">
        <f t="array" aca="1" ref="AB21" ca="1">INDEX($D$2:$D$101,RANDBETWEEN(1,ROWS(AB22:AB120)))</f>
        <v>Bluetooth Transmitter</v>
      </c>
      <c r="AC21" t="str">
        <f t="shared" ca="1" si="28"/>
        <v>Sends audio to Bluetooth devices</v>
      </c>
      <c r="AD21" t="str" cm="1">
        <f t="array" aca="1" ref="AD21" ca="1">INDEX($D$2:$D$101,RANDBETWEEN(1,ROWS(AD22:AD120)))</f>
        <v>Kitchen Weighing Scale</v>
      </c>
      <c r="AE21" t="str">
        <f t="shared" ca="1" si="29"/>
        <v>Measures food portions accurately</v>
      </c>
      <c r="AF21" t="str" cm="1">
        <f t="array" aca="1" ref="AF21" ca="1">INDEX($D$2:$D$101,RANDBETWEEN(1,ROWS(AF22:AF120)))</f>
        <v>Ceiling Light with Fan</v>
      </c>
      <c r="AG21" t="str">
        <f t="shared" ca="1" si="30"/>
        <v>Dual-function decorative ceiling light with built-in fan</v>
      </c>
      <c r="AH21" t="str" cm="1">
        <f t="array" aca="1" ref="AH21" ca="1">INDEX($D$2:$D$101,RANDBETWEEN(1,ROWS(AH22:AH120)))</f>
        <v>Heated Eyelash Curler</v>
      </c>
      <c r="AI21" t="str">
        <f t="shared" ca="1" si="31"/>
        <v>Shapes eyelashes with gentle heat</v>
      </c>
      <c r="AJ21" t="str" cm="1">
        <f t="array" aca="1" ref="AJ21" ca="1">INDEX($D$2:$D$101,RANDBETWEEN(1,ROWS(AJ22:AJ120)))</f>
        <v>Ice Maker</v>
      </c>
      <c r="AK21" t="str">
        <f t="shared" ca="1" si="14"/>
        <v>Machine that produces ice cubes automatically</v>
      </c>
      <c r="AL21" t="str" cm="1">
        <f t="array" aca="1" ref="AL21" ca="1">INDEX($D$2:$D$101,RANDBETWEEN(1,ROWS(AL22:AL120)))</f>
        <v>Chimney Hood</v>
      </c>
      <c r="AM21" t="str">
        <f t="shared" ca="1" si="32"/>
        <v>Kitchen exhaust for smoke and fumes</v>
      </c>
      <c r="AN21" t="str" cm="1">
        <f t="array" aca="1" ref="AN21" ca="1">INDEX($D$2:$D$101,RANDBETWEEN(1,ROWS(AN22:AN120)))</f>
        <v>Portable Air Conditioner</v>
      </c>
      <c r="AO21" t="str">
        <f t="shared" ca="1" si="33"/>
        <v>Compact AC unit for small spaces</v>
      </c>
      <c r="AP21" t="str" cm="1">
        <f t="array" aca="1" ref="AP21" ca="1">INDEX($D$2:$D$101,RANDBETWEEN(1,ROWS(AP22:AP120)))</f>
        <v>Smart Air Conditioner</v>
      </c>
      <c r="AQ21" t="str">
        <f t="shared" ca="1" si="34"/>
        <v>AC unit controllable via smartphone or voice</v>
      </c>
    </row>
    <row r="22" spans="1:43" ht="20.5" customHeight="1" x14ac:dyDescent="0.3">
      <c r="A22" s="22">
        <v>121</v>
      </c>
      <c r="B22" t="s">
        <v>338</v>
      </c>
      <c r="C22" t="s">
        <v>80</v>
      </c>
      <c r="D22" s="1" t="s">
        <v>81</v>
      </c>
      <c r="E22" s="1" t="s">
        <v>82</v>
      </c>
      <c r="F22" t="str" cm="1">
        <f t="array" aca="1" ref="F22" ca="1">INDEX($D$2:$D$101,RANDBETWEEN(1,ROWS(F23:F121)))</f>
        <v>Robot Vacuum Cleaner</v>
      </c>
      <c r="G22" t="str">
        <f t="shared" ca="1" si="0"/>
        <v>Automated floor cleaning device</v>
      </c>
      <c r="H22" t="str" cm="1">
        <f t="array" aca="1" ref="H22" ca="1">INDEX($D$2:$D$101,RANDBETWEEN(1,ROWS(H23:H121)))</f>
        <v>Bread Maker</v>
      </c>
      <c r="I22" t="str">
        <f t="shared" ca="1" si="18"/>
        <v>Automatically bakes fresh bread</v>
      </c>
      <c r="J22" t="str" cm="1">
        <f t="array" aca="1" ref="J22" ca="1">INDEX($D$2:$D$101,RANDBETWEEN(1,ROWS(J23:J121)))</f>
        <v>Mesh Wi-Fi System</v>
      </c>
      <c r="K22" t="str">
        <f t="shared" ca="1" si="19"/>
        <v>Whole-home wireless coverage</v>
      </c>
      <c r="L22" t="str" cm="1">
        <f t="array" aca="1" ref="L22" ca="1">INDEX($D$2:$D$101,RANDBETWEEN(1,ROWS(L23:L121)))</f>
        <v>Electric Facial Brush</v>
      </c>
      <c r="M22" t="str">
        <f t="shared" ca="1" si="20"/>
        <v>Cleansing brush for exfoliation</v>
      </c>
      <c r="N22" t="str" cm="1">
        <f t="array" aca="1" ref="N22" ca="1">INDEX($D$2:$D$101,RANDBETWEEN(1,ROWS(N23:N121)))</f>
        <v>Smart Mosquito Repeller</v>
      </c>
      <c r="O22" t="str">
        <f t="shared" ca="1" si="21"/>
        <v>USB-powered electronic insect repeller</v>
      </c>
      <c r="P22" t="str" cm="1">
        <f t="array" aca="1" ref="P22" ca="1">INDEX($D$2:$D$101,RANDBETWEEN(1,ROWS(P23:P121)))</f>
        <v>Inverter AC</v>
      </c>
      <c r="Q22" t="str">
        <f t="shared" ca="1" si="22"/>
        <v>Energy-efficient air conditioner</v>
      </c>
      <c r="R22" t="str" cm="1">
        <f t="array" aca="1" ref="R22" ca="1">INDEX($D$2:$D$101,RANDBETWEEN(1,ROWS(R23:R121)))</f>
        <v>Pedestal Fan</v>
      </c>
      <c r="S22" t="str">
        <f t="shared" ca="1" si="23"/>
        <v>Adjustable stand fan for personal cooling</v>
      </c>
      <c r="T22" t="str" cm="1">
        <f t="array" aca="1" ref="T22" ca="1">INDEX($D$2:$D$101,RANDBETWEEN(1,ROWS(T23:T121)))</f>
        <v>Portable Car Heater</v>
      </c>
      <c r="U22" t="str">
        <f t="shared" ca="1" si="24"/>
        <v>12V heater for car interiors</v>
      </c>
      <c r="V22" t="str" cm="1">
        <f t="array" aca="1" ref="V22" ca="1">INDEX($D$2:$D$101,RANDBETWEEN(1,ROWS(V23:V121)))</f>
        <v>Crepe Maker</v>
      </c>
      <c r="W22" t="str">
        <f t="shared" ca="1" si="25"/>
        <v>Electric pan for making crepes</v>
      </c>
      <c r="X22" t="str" cm="1">
        <f t="array" aca="1" ref="X22" ca="1">INDEX($D$2:$D$101,RANDBETWEEN(1,ROWS(X23:X121)))</f>
        <v>Electric Grill</v>
      </c>
      <c r="Y22" t="str">
        <f t="shared" ca="1" si="26"/>
        <v>Indoor grill for meat and vegetables</v>
      </c>
      <c r="Z22" t="str" cm="1">
        <f t="array" aca="1" ref="Z22" ca="1">INDEX($D$2:$D$101,RANDBETWEEN(1,ROWS(Z23:Z121)))</f>
        <v>Portable Air Conditioner</v>
      </c>
      <c r="AA22" t="str">
        <f t="shared" ca="1" si="27"/>
        <v>Compact AC unit for small spaces</v>
      </c>
      <c r="AB22" t="str" cm="1">
        <f t="array" aca="1" ref="AB22" ca="1">INDEX($D$2:$D$101,RANDBETWEEN(1,ROWS(AB23:AB121)))</f>
        <v>Soundbar</v>
      </c>
      <c r="AC22" t="str">
        <f t="shared" ca="1" si="28"/>
        <v>Compact speaker bar for TVs</v>
      </c>
      <c r="AD22" t="str" cm="1">
        <f t="array" aca="1" ref="AD22" ca="1">INDEX($D$2:$D$101,RANDBETWEEN(1,ROWS(AD23:AD121)))</f>
        <v>Pedestal Fan</v>
      </c>
      <c r="AE22" t="str">
        <f t="shared" ca="1" si="29"/>
        <v>Adjustable stand fan for personal cooling</v>
      </c>
      <c r="AF22" t="str" cm="1">
        <f t="array" aca="1" ref="AF22" ca="1">INDEX($D$2:$D$101,RANDBETWEEN(1,ROWS(AF23:AF121)))</f>
        <v>Portable Power Station</v>
      </c>
      <c r="AG22" t="str">
        <f t="shared" ca="1" si="30"/>
        <v>Rechargeable power supply for outdoors</v>
      </c>
      <c r="AH22" t="str" cm="1">
        <f t="array" aca="1" ref="AH22" ca="1">INDEX($D$2:$D$101,RANDBETWEEN(1,ROWS(AH23:AH121)))</f>
        <v>Smart Rearview Mirror</v>
      </c>
      <c r="AI22" t="str">
        <f t="shared" ca="1" si="31"/>
        <v>Touchscreen mirror with GPS and camera</v>
      </c>
      <c r="AJ22" t="str" cm="1">
        <f t="array" aca="1" ref="AJ22" ca="1">INDEX($D$2:$D$101,RANDBETWEEN(1,ROWS(AJ23:AJ121)))</f>
        <v>Extension Board with USB</v>
      </c>
      <c r="AK22" t="str">
        <f t="shared" ca="1" si="14"/>
        <v>Power strip with USB charging ports</v>
      </c>
      <c r="AL22" t="str" cm="1">
        <f t="array" aca="1" ref="AL22" ca="1">INDEX($D$2:$D$101,RANDBETWEEN(1,ROWS(AL23:AL121)))</f>
        <v>Ultrasonic Skin Cleaner</v>
      </c>
      <c r="AM22" t="str">
        <f t="shared" ca="1" si="32"/>
        <v>Deep cleans skin using ultrasonic waves</v>
      </c>
      <c r="AN22" t="str" cm="1">
        <f t="array" aca="1" ref="AN22" ca="1">INDEX($D$2:$D$101,RANDBETWEEN(1,ROWS(AN23:AN121)))</f>
        <v>Kitchen Weighing Scale</v>
      </c>
      <c r="AO22" t="str">
        <f t="shared" ca="1" si="33"/>
        <v>Measures food portions accurately</v>
      </c>
      <c r="AP22" t="str" cm="1">
        <f t="array" aca="1" ref="AP22" ca="1">INDEX($D$2:$D$101,RANDBETWEEN(1,ROWS(AP23:AP121)))</f>
        <v>Hygrometer</v>
      </c>
      <c r="AQ22" t="str">
        <f t="shared" ca="1" si="34"/>
        <v>Measures indoor humidity levels</v>
      </c>
    </row>
    <row r="23" spans="1:43" ht="20.5" customHeight="1" x14ac:dyDescent="0.3">
      <c r="A23" s="22">
        <v>122</v>
      </c>
      <c r="B23" t="s">
        <v>339</v>
      </c>
      <c r="C23" t="s">
        <v>83</v>
      </c>
      <c r="D23" s="1" t="s">
        <v>84</v>
      </c>
      <c r="E23" s="1" t="s">
        <v>85</v>
      </c>
      <c r="F23" t="str" cm="1">
        <f t="array" aca="1" ref="F23" ca="1">INDEX($D$2:$D$101,RANDBETWEEN(1,ROWS(F24:F122)))</f>
        <v>Electric Egg Beater</v>
      </c>
      <c r="G23" t="str">
        <f t="shared" ca="1" si="0"/>
        <v>Handheld electric whisk for baking</v>
      </c>
      <c r="H23" t="str" cm="1">
        <f t="array" aca="1" ref="H23" ca="1">INDEX($D$2:$D$101,RANDBETWEEN(1,ROWS(H24:H122)))</f>
        <v>Egg Boiler</v>
      </c>
      <c r="I23" t="str">
        <f t="shared" ca="1" si="18"/>
        <v>Automatically boils eggs</v>
      </c>
      <c r="J23" t="str" cm="1">
        <f t="array" aca="1" ref="J23" ca="1">INDEX($D$2:$D$101,RANDBETWEEN(1,ROWS(J24:J122)))</f>
        <v>Subwoofer</v>
      </c>
      <c r="K23" t="str">
        <f t="shared" ca="1" si="19"/>
        <v>Deep bass audio speaker</v>
      </c>
      <c r="L23" t="str" cm="1">
        <f t="array" aca="1" ref="L23" ca="1">INDEX($D$2:$D$101,RANDBETWEEN(1,ROWS(L24:L122)))</f>
        <v>UV Sterilizer Box</v>
      </c>
      <c r="M23" t="str">
        <f t="shared" ca="1" si="20"/>
        <v>Disinfects small items using UV light</v>
      </c>
      <c r="N23" t="str" cm="1">
        <f t="array" aca="1" ref="N23" ca="1">INDEX($D$2:$D$101,RANDBETWEEN(1,ROWS(N24:N122)))</f>
        <v>Motion Detector</v>
      </c>
      <c r="O23" t="str">
        <f t="shared" ca="1" si="21"/>
        <v>Triggers alarm or light on motion detection</v>
      </c>
      <c r="P23" t="str" cm="1">
        <f t="array" aca="1" ref="P23" ca="1">INDEX($D$2:$D$101,RANDBETWEEN(1,ROWS(P24:P122)))</f>
        <v>Motion Sensor Light</v>
      </c>
      <c r="Q23" t="str">
        <f t="shared" ca="1" si="22"/>
        <v>Lights that activate on movement</v>
      </c>
      <c r="R23" t="str" cm="1">
        <f t="array" aca="1" ref="R23" ca="1">INDEX($D$2:$D$101,RANDBETWEEN(1,ROWS(R24:R122)))</f>
        <v>Robot Vacuum Cleaner</v>
      </c>
      <c r="S23" t="str">
        <f t="shared" ca="1" si="23"/>
        <v>Automated floor cleaning device</v>
      </c>
      <c r="T23" t="str" cm="1">
        <f t="array" aca="1" ref="T23" ca="1">INDEX($D$2:$D$101,RANDBETWEEN(1,ROWS(T24:T122)))</f>
        <v>LED Desk Lamp</v>
      </c>
      <c r="U23" t="str">
        <f t="shared" ca="1" si="24"/>
        <v>Adjustable desk lamp with LED lighting</v>
      </c>
      <c r="V23" t="str" cm="1">
        <f t="array" aca="1" ref="V23" ca="1">INDEX($D$2:$D$101,RANDBETWEEN(1,ROWS(V24:V122)))</f>
        <v>Dashcam Rear Camera</v>
      </c>
      <c r="W23" t="str">
        <f t="shared" ca="1" si="25"/>
        <v>Rear view recording for vehicles</v>
      </c>
      <c r="X23" t="str" cm="1">
        <f t="array" aca="1" ref="X23" ca="1">INDEX($D$2:$D$101,RANDBETWEEN(1,ROWS(X24:X122)))</f>
        <v>Crepe Maker</v>
      </c>
      <c r="Y23" t="str">
        <f t="shared" ca="1" si="26"/>
        <v>Electric pan for making crepes</v>
      </c>
      <c r="Z23" t="str" cm="1">
        <f t="array" aca="1" ref="Z23" ca="1">INDEX($D$2:$D$101,RANDBETWEEN(1,ROWS(Z24:Z122)))</f>
        <v>Motion Detector</v>
      </c>
      <c r="AA23" t="str">
        <f t="shared" ca="1" si="27"/>
        <v>Triggers alarm or light on motion detection</v>
      </c>
      <c r="AB23" t="str" cm="1">
        <f t="array" aca="1" ref="AB23" ca="1">INDEX($D$2:$D$101,RANDBETWEEN(1,ROWS(AB24:AB122)))</f>
        <v>Portable Power Station</v>
      </c>
      <c r="AC23" t="str">
        <f t="shared" ca="1" si="28"/>
        <v>Rechargeable power supply for outdoors</v>
      </c>
      <c r="AD23" t="str" cm="1">
        <f t="array" aca="1" ref="AD23" ca="1">INDEX($D$2:$D$101,RANDBETWEEN(1,ROWS(AD24:AD122)))</f>
        <v>Room Heater</v>
      </c>
      <c r="AE23" t="str">
        <f t="shared" ca="1" si="29"/>
        <v>Electric heater for indoor heating</v>
      </c>
      <c r="AF23" t="str" cm="1">
        <f t="array" aca="1" ref="AF23" ca="1">INDEX($D$2:$D$101,RANDBETWEEN(1,ROWS(AF24:AF122)))</f>
        <v>Ice Maker</v>
      </c>
      <c r="AG23" t="str">
        <f t="shared" ca="1" si="30"/>
        <v>Machine that produces ice cubes automatically</v>
      </c>
      <c r="AH23" t="str" cm="1">
        <f t="array" aca="1" ref="AH23" ca="1">INDEX($D$2:$D$101,RANDBETWEEN(1,ROWS(AH24:AH122)))</f>
        <v>Smart Refrigerator</v>
      </c>
      <c r="AI23" t="str">
        <f t="shared" ca="1" si="31"/>
        <v>Internet-connected fridge with touchscreen and smart controls</v>
      </c>
      <c r="AJ23" t="str" cm="1">
        <f t="array" aca="1" ref="AJ23" ca="1">INDEX($D$2:$D$101,RANDBETWEEN(1,ROWS(AJ24:AJ122)))</f>
        <v>Motion Detector</v>
      </c>
      <c r="AK23" t="str">
        <f t="shared" ca="1" si="14"/>
        <v>Triggers alarm or light on motion detection</v>
      </c>
      <c r="AL23" t="str" cm="1">
        <f t="array" aca="1" ref="AL23" ca="1">INDEX($D$2:$D$101,RANDBETWEEN(1,ROWS(AL24:AL122)))</f>
        <v>Smart Air Conditioner</v>
      </c>
      <c r="AM23" t="str">
        <f t="shared" ca="1" si="32"/>
        <v>AC unit controllable via smartphone or voice</v>
      </c>
      <c r="AN23" t="str" cm="1">
        <f t="array" aca="1" ref="AN23" ca="1">INDEX($D$2:$D$101,RANDBETWEEN(1,ROWS(AN24:AN122)))</f>
        <v>Cold Press Juicer</v>
      </c>
      <c r="AO23" t="str">
        <f t="shared" ca="1" si="33"/>
        <v>Slow juicer for better nutrient retention</v>
      </c>
      <c r="AP23" t="str" cm="1">
        <f t="array" aca="1" ref="AP23" ca="1">INDEX($D$2:$D$101,RANDBETWEEN(1,ROWS(AP24:AP122)))</f>
        <v>Electric Water Boiler</v>
      </c>
      <c r="AQ23" t="str">
        <f t="shared" ca="1" si="34"/>
        <v>Quickly boils large volumes of water</v>
      </c>
    </row>
    <row r="24" spans="1:43" ht="20.5" customHeight="1" x14ac:dyDescent="0.3">
      <c r="A24" s="22">
        <v>123</v>
      </c>
      <c r="B24" t="s">
        <v>340</v>
      </c>
      <c r="C24" t="s">
        <v>86</v>
      </c>
      <c r="D24" s="1" t="s">
        <v>87</v>
      </c>
      <c r="E24" s="1" t="s">
        <v>88</v>
      </c>
      <c r="F24" t="str" cm="1">
        <f t="array" aca="1" ref="F24" ca="1">INDEX($D$2:$D$101,RANDBETWEEN(1,ROWS(F25:F123)))</f>
        <v>Air Humidifier with Light</v>
      </c>
      <c r="G24" t="str">
        <f t="shared" ca="1" si="0"/>
        <v>Adds moisture and includes night light feature</v>
      </c>
      <c r="H24" t="str" cm="1">
        <f t="array" aca="1" ref="H24" ca="1">INDEX($D$2:$D$101,RANDBETWEEN(1,ROWS(H25:H123)))</f>
        <v>Motion Sensor Light</v>
      </c>
      <c r="I24" t="str">
        <f t="shared" ca="1" si="18"/>
        <v>Lights that activate on movement</v>
      </c>
      <c r="J24" t="str" cm="1">
        <f t="array" aca="1" ref="J24" ca="1">INDEX($D$2:$D$101,RANDBETWEEN(1,ROWS(J25:J123)))</f>
        <v>Smart IR Remote</v>
      </c>
      <c r="K24" t="str">
        <f t="shared" ca="1" si="19"/>
        <v>Controls appliances via smartphone</v>
      </c>
      <c r="L24" t="str" cm="1">
        <f t="array" aca="1" ref="L24" ca="1">INDEX($D$2:$D$101,RANDBETWEEN(1,ROWS(L25:L123)))</f>
        <v>Meat Grinder</v>
      </c>
      <c r="M24" t="str">
        <f t="shared" ca="1" si="20"/>
        <v>Grinds meat for home cooking</v>
      </c>
      <c r="N24" t="str" cm="1">
        <f t="array" aca="1" ref="N24" ca="1">INDEX($D$2:$D$101,RANDBETWEEN(1,ROWS(N25:N123)))</f>
        <v>Air Humidifier with Light</v>
      </c>
      <c r="O24" t="str">
        <f t="shared" ca="1" si="21"/>
        <v>Adds moisture and includes night light feature</v>
      </c>
      <c r="P24" t="str" cm="1">
        <f t="array" aca="1" ref="P24" ca="1">INDEX($D$2:$D$101,RANDBETWEEN(1,ROWS(P25:P123)))</f>
        <v>Bread Maker</v>
      </c>
      <c r="Q24" t="str">
        <f t="shared" ca="1" si="22"/>
        <v>Automatically bakes fresh bread</v>
      </c>
      <c r="R24" t="str" cm="1">
        <f t="array" aca="1" ref="R24" ca="1">INDEX($D$2:$D$101,RANDBETWEEN(1,ROWS(R25:R123)))</f>
        <v>Roti Maker</v>
      </c>
      <c r="S24" t="str">
        <f t="shared" ca="1" si="23"/>
        <v>Flattens and cooks Indian flatbreads</v>
      </c>
      <c r="T24" t="str" cm="1">
        <f t="array" aca="1" ref="T24" ca="1">INDEX($D$2:$D$101,RANDBETWEEN(1,ROWS(T25:T123)))</f>
        <v>Ultrasonic Skin Cleaner</v>
      </c>
      <c r="U24" t="str">
        <f t="shared" ca="1" si="24"/>
        <v>Deep cleans skin using ultrasonic waves</v>
      </c>
      <c r="V24" t="str" cm="1">
        <f t="array" aca="1" ref="V24" ca="1">INDEX($D$2:$D$101,RANDBETWEEN(1,ROWS(V25:V123)))</f>
        <v>Extension Board with USB</v>
      </c>
      <c r="W24" t="str">
        <f t="shared" ca="1" si="25"/>
        <v>Power strip with USB charging ports</v>
      </c>
      <c r="X24" t="str" cm="1">
        <f t="array" aca="1" ref="X24" ca="1">INDEX($D$2:$D$101,RANDBETWEEN(1,ROWS(X25:X123)))</f>
        <v>Dashcam Rear Camera</v>
      </c>
      <c r="Y24" t="str">
        <f t="shared" ca="1" si="26"/>
        <v>Rear view recording for vehicles</v>
      </c>
      <c r="Z24" t="str" cm="1">
        <f t="array" aca="1" ref="Z24" ca="1">INDEX($D$2:$D$101,RANDBETWEEN(1,ROWS(Z25:Z123)))</f>
        <v>Laptop Stand</v>
      </c>
      <c r="AA24" t="str">
        <f t="shared" ca="1" si="27"/>
        <v>Raises laptop for ergonomic use</v>
      </c>
      <c r="AB24" t="str" cm="1">
        <f t="array" aca="1" ref="AB24" ca="1">INDEX($D$2:$D$101,RANDBETWEEN(1,ROWS(AB25:AB123)))</f>
        <v>Espresso Machine</v>
      </c>
      <c r="AC24" t="str">
        <f t="shared" ca="1" si="28"/>
        <v>Makes espresso coffee drinks</v>
      </c>
      <c r="AD24" t="str" cm="1">
        <f t="array" aca="1" ref="AD24" ca="1">INDEX($D$2:$D$101,RANDBETWEEN(1,ROWS(AD25:AD123)))</f>
        <v>Emergency Solar Light</v>
      </c>
      <c r="AE24" t="str">
        <f t="shared" ca="1" si="29"/>
        <v>Solar-powered backup light</v>
      </c>
      <c r="AF24" t="str" cm="1">
        <f t="array" aca="1" ref="AF24" ca="1">INDEX($D$2:$D$101,RANDBETWEEN(1,ROWS(AF25:AF123)))</f>
        <v>Electric Facial Brush</v>
      </c>
      <c r="AG24" t="str">
        <f t="shared" ca="1" si="30"/>
        <v>Cleansing brush for exfoliation</v>
      </c>
      <c r="AH24" t="str" cm="1">
        <f t="array" aca="1" ref="AH24" ca="1">INDEX($D$2:$D$101,RANDBETWEEN(1,ROWS(AH25:AH123)))</f>
        <v>Smart Toothbrush</v>
      </c>
      <c r="AI24" t="str">
        <f t="shared" ca="1" si="31"/>
        <v>Electric brush with Bluetooth tracking</v>
      </c>
      <c r="AJ24" t="str" cm="1">
        <f t="array" aca="1" ref="AJ24" ca="1">INDEX($D$2:$D$101,RANDBETWEEN(1,ROWS(AJ25:AJ123)))</f>
        <v>Facial Steamer</v>
      </c>
      <c r="AK24" t="str">
        <f t="shared" ca="1" si="14"/>
        <v>Opens pores for skincare routine</v>
      </c>
      <c r="AL24" t="str" cm="1">
        <f t="array" aca="1" ref="AL24" ca="1">INDEX($D$2:$D$101,RANDBETWEEN(1,ROWS(AL25:AL123)))</f>
        <v>Magnetic Charging Cable</v>
      </c>
      <c r="AM24" t="str">
        <f t="shared" ca="1" si="32"/>
        <v>Detachable magnetic USB cable</v>
      </c>
      <c r="AN24" t="str" cm="1">
        <f t="array" aca="1" ref="AN24" ca="1">INDEX($D$2:$D$101,RANDBETWEEN(1,ROWS(AN25:AN123)))</f>
        <v>Egg Boiler</v>
      </c>
      <c r="AO24" t="str">
        <f t="shared" ca="1" si="33"/>
        <v>Automatically boils eggs</v>
      </c>
      <c r="AP24" t="str" cm="1">
        <f t="array" aca="1" ref="AP24" ca="1">INDEX($D$2:$D$101,RANDBETWEEN(1,ROWS(AP25:AP123)))</f>
        <v>Portable Induction Stove</v>
      </c>
      <c r="AQ24" t="str">
        <f t="shared" ca="1" si="34"/>
        <v>Lightweight induction stove for mobile cooking</v>
      </c>
    </row>
    <row r="25" spans="1:43" ht="20.5" customHeight="1" x14ac:dyDescent="0.3">
      <c r="A25" s="22">
        <v>124</v>
      </c>
      <c r="B25" t="s">
        <v>341</v>
      </c>
      <c r="C25" t="s">
        <v>89</v>
      </c>
      <c r="D25" s="1" t="s">
        <v>90</v>
      </c>
      <c r="E25" s="1" t="s">
        <v>91</v>
      </c>
      <c r="F25" t="str" cm="1">
        <f t="array" aca="1" ref="F25" ca="1">INDEX($D$2:$D$101,RANDBETWEEN(1,ROWS(F26:F124)))</f>
        <v>Portable Induction Stove</v>
      </c>
      <c r="G25" t="str">
        <f t="shared" ca="1" si="0"/>
        <v>Lightweight induction stove for mobile cooking</v>
      </c>
      <c r="H25" t="str" cm="1">
        <f t="array" aca="1" ref="H25" ca="1">INDEX($D$2:$D$101,RANDBETWEEN(1,ROWS(H26:H124)))</f>
        <v>Laptop Stand</v>
      </c>
      <c r="I25" t="str">
        <f t="shared" ca="1" si="18"/>
        <v>Raises laptop for ergonomic use</v>
      </c>
      <c r="J25" t="str" cm="1">
        <f t="array" aca="1" ref="J25" ca="1">INDEX($D$2:$D$101,RANDBETWEEN(1,ROWS(J26:J124)))</f>
        <v>Laptop Stand</v>
      </c>
      <c r="K25" t="str">
        <f t="shared" ca="1" si="19"/>
        <v>Raises laptop for ergonomic use</v>
      </c>
      <c r="L25" t="str" cm="1">
        <f t="array" aca="1" ref="L25" ca="1">INDEX($D$2:$D$101,RANDBETWEEN(1,ROWS(L26:L124)))</f>
        <v>Automatic Hand Sanitizer</v>
      </c>
      <c r="M25" t="str">
        <f t="shared" ca="1" si="20"/>
        <v>Touchless sanitizer dispenser</v>
      </c>
      <c r="N25" t="str" cm="1">
        <f t="array" aca="1" ref="N25" ca="1">INDEX($D$2:$D$101,RANDBETWEEN(1,ROWS(N26:N124)))</f>
        <v>Laptop Stand</v>
      </c>
      <c r="O25" t="str">
        <f t="shared" ca="1" si="21"/>
        <v>Raises laptop for ergonomic use</v>
      </c>
      <c r="P25" t="str" cm="1">
        <f t="array" aca="1" ref="P25" ca="1">INDEX($D$2:$D$101,RANDBETWEEN(1,ROWS(P26:P124)))</f>
        <v>Subwoofer</v>
      </c>
      <c r="Q25" t="str">
        <f t="shared" ca="1" si="22"/>
        <v>Deep bass audio speaker</v>
      </c>
      <c r="R25" t="str" cm="1">
        <f t="array" aca="1" ref="R25" ca="1">INDEX($D$2:$D$101,RANDBETWEEN(1,ROWS(R26:R124)))</f>
        <v>Electric Egg Beater</v>
      </c>
      <c r="S25" t="str">
        <f t="shared" ca="1" si="23"/>
        <v>Handheld electric whisk for baking</v>
      </c>
      <c r="T25" t="str" cm="1">
        <f t="array" aca="1" ref="T25" ca="1">INDEX($D$2:$D$101,RANDBETWEEN(1,ROWS(T26:T124)))</f>
        <v>Smart Smoke Detector</v>
      </c>
      <c r="U25" t="str">
        <f t="shared" ca="1" si="24"/>
        <v>Smoke alarm with smart alerts</v>
      </c>
      <c r="V25" t="str" cm="1">
        <f t="array" aca="1" ref="V25" ca="1">INDEX($D$2:$D$101,RANDBETWEEN(1,ROWS(V26:V124)))</f>
        <v>Wall-Mounted Fan</v>
      </c>
      <c r="W25" t="str">
        <f t="shared" ca="1" si="25"/>
        <v>Space-saving fan for wall mounting</v>
      </c>
      <c r="X25" t="str" cm="1">
        <f t="array" aca="1" ref="X25" ca="1">INDEX($D$2:$D$101,RANDBETWEEN(1,ROWS(X26:X124)))</f>
        <v>Electric Egg Beater</v>
      </c>
      <c r="Y25" t="str">
        <f t="shared" ca="1" si="26"/>
        <v>Handheld electric whisk for baking</v>
      </c>
      <c r="Z25" t="str" cm="1">
        <f t="array" aca="1" ref="Z25" ca="1">INDEX($D$2:$D$101,RANDBETWEEN(1,ROWS(Z26:Z124)))</f>
        <v>USB-C Docking Station</v>
      </c>
      <c r="AA25" t="str">
        <f t="shared" ca="1" si="27"/>
        <v>Expands ports for laptops</v>
      </c>
      <c r="AB25" t="str" cm="1">
        <f t="array" aca="1" ref="AB25" ca="1">INDEX($D$2:$D$101,RANDBETWEEN(1,ROWS(AB26:AB124)))</f>
        <v>HDMI Cable</v>
      </c>
      <c r="AC25" t="str">
        <f t="shared" ca="1" si="28"/>
        <v>Transfers audio/video signals</v>
      </c>
      <c r="AD25" t="str" cm="1">
        <f t="array" aca="1" ref="AD25" ca="1">INDEX($D$2:$D$101,RANDBETWEEN(1,ROWS(AD26:AD124)))</f>
        <v>Pancake Maker</v>
      </c>
      <c r="AE25" t="str">
        <f t="shared" ca="1" si="29"/>
        <v>Easy tool for making pancakes</v>
      </c>
      <c r="AF25" t="str" cm="1">
        <f t="array" aca="1" ref="AF25" ca="1">INDEX($D$2:$D$101,RANDBETWEEN(1,ROWS(AF26:AF124)))</f>
        <v>DisplayPort Cable</v>
      </c>
      <c r="AG25" t="str">
        <f t="shared" ca="1" si="30"/>
        <v>High-resolution monitor cable</v>
      </c>
      <c r="AH25" t="str" cm="1">
        <f t="array" aca="1" ref="AH25" ca="1">INDEX($D$2:$D$101,RANDBETWEEN(1,ROWS(AH26:AH124)))</f>
        <v>Automatic Hand Sanitizer</v>
      </c>
      <c r="AI25" t="str">
        <f t="shared" ca="1" si="31"/>
        <v>Touchless sanitizer dispenser</v>
      </c>
      <c r="AJ25" t="str" cm="1">
        <f t="array" aca="1" ref="AJ25" ca="1">INDEX($D$2:$D$101,RANDBETWEEN(1,ROWS(AJ26:AJ124)))</f>
        <v>Digital Multimeter</v>
      </c>
      <c r="AK25" t="str">
        <f t="shared" ca="1" si="14"/>
        <v>Measures voltage, current, resistance</v>
      </c>
      <c r="AL25" t="str" cm="1">
        <f t="array" aca="1" ref="AL25" ca="1">INDEX($D$2:$D$101,RANDBETWEEN(1,ROWS(AL26:AL124)))</f>
        <v>Kitchen Weighing Scale</v>
      </c>
      <c r="AM25" t="str">
        <f t="shared" ca="1" si="32"/>
        <v>Measures food portions accurately</v>
      </c>
      <c r="AN25" t="str" cm="1">
        <f t="array" aca="1" ref="AN25" ca="1">INDEX($D$2:$D$101,RANDBETWEEN(1,ROWS(AN26:AN124)))</f>
        <v>Portable Power Station</v>
      </c>
      <c r="AO25" t="str">
        <f t="shared" ca="1" si="33"/>
        <v>Rechargeable power supply for outdoors</v>
      </c>
      <c r="AP25" t="str" cm="1">
        <f t="array" aca="1" ref="AP25" ca="1">INDEX($D$2:$D$101,RANDBETWEEN(1,ROWS(AP26:AP124)))</f>
        <v>Smart Ceiling Light</v>
      </c>
      <c r="AQ25" t="str">
        <f t="shared" ca="1" si="34"/>
        <v>Wi-Fi-enabled, color-changing ceiling light</v>
      </c>
    </row>
    <row r="26" spans="1:43" ht="20.5" customHeight="1" x14ac:dyDescent="0.3">
      <c r="A26" s="22">
        <v>125</v>
      </c>
      <c r="B26" t="s">
        <v>342</v>
      </c>
      <c r="C26" t="s">
        <v>92</v>
      </c>
      <c r="D26" s="1" t="s">
        <v>93</v>
      </c>
      <c r="E26" s="1" t="s">
        <v>94</v>
      </c>
      <c r="F26" t="str" cm="1">
        <f t="array" aca="1" ref="F26" ca="1">INDEX($D$2:$D$101,RANDBETWEEN(1,ROWS(F27:F125)))</f>
        <v>Dashcam Rear Camera</v>
      </c>
      <c r="G26" t="str">
        <f t="shared" ca="1" si="0"/>
        <v>Rear view recording for vehicles</v>
      </c>
      <c r="H26" t="str" cm="1">
        <f t="array" aca="1" ref="H26" ca="1">INDEX($D$2:$D$101,RANDBETWEEN(1,ROWS(H27:H125)))</f>
        <v>Hair Removal Epilator</v>
      </c>
      <c r="I26" t="str">
        <f t="shared" ca="1" si="18"/>
        <v>Plucks hair from root electrically</v>
      </c>
      <c r="J26" t="str" cm="1">
        <f t="array" aca="1" ref="J26" ca="1">INDEX($D$2:$D$101,RANDBETWEEN(1,ROWS(J27:J125)))</f>
        <v>Waffle Maker</v>
      </c>
      <c r="K26" t="str">
        <f t="shared" ca="1" si="19"/>
        <v>Makes waffles at home</v>
      </c>
      <c r="L26" t="str" cm="1">
        <f t="array" aca="1" ref="L26" ca="1">INDEX($D$2:$D$101,RANDBETWEEN(1,ROWS(L27:L125)))</f>
        <v>Smart Car Charger</v>
      </c>
      <c r="M26" t="str">
        <f t="shared" ca="1" si="20"/>
        <v>USB charger with smart protection features</v>
      </c>
      <c r="N26" t="str" cm="1">
        <f t="array" aca="1" ref="N26" ca="1">INDEX($D$2:$D$101,RANDBETWEEN(1,ROWS(N27:N125)))</f>
        <v>DisplayPort Cable</v>
      </c>
      <c r="O26" t="str">
        <f t="shared" ca="1" si="21"/>
        <v>High-resolution monitor cable</v>
      </c>
      <c r="P26" t="str" cm="1">
        <f t="array" aca="1" ref="P26" ca="1">INDEX($D$2:$D$101,RANDBETWEEN(1,ROWS(P27:P125)))</f>
        <v>Emergency Solar Light</v>
      </c>
      <c r="Q26" t="str">
        <f t="shared" ca="1" si="22"/>
        <v>Solar-powered backup light</v>
      </c>
      <c r="R26" t="str" cm="1">
        <f t="array" aca="1" ref="R26" ca="1">INDEX($D$2:$D$101,RANDBETWEEN(1,ROWS(R27:R125)))</f>
        <v>Roti Maker</v>
      </c>
      <c r="S26" t="str">
        <f t="shared" ca="1" si="23"/>
        <v>Flattens and cooks Indian flatbreads</v>
      </c>
      <c r="T26" t="str" cm="1">
        <f t="array" aca="1" ref="T26" ca="1">INDEX($D$2:$D$101,RANDBETWEEN(1,ROWS(T27:T125)))</f>
        <v>Electric Chopper</v>
      </c>
      <c r="U26" t="str">
        <f t="shared" ca="1" si="24"/>
        <v>Chops vegetables and fruits quickly</v>
      </c>
      <c r="V26" t="str" cm="1">
        <f t="array" aca="1" ref="V26" ca="1">INDEX($D$2:$D$101,RANDBETWEEN(1,ROWS(V27:V125)))</f>
        <v>Dashcam Rear Camera</v>
      </c>
      <c r="W26" t="str">
        <f t="shared" ca="1" si="25"/>
        <v>Rear view recording for vehicles</v>
      </c>
      <c r="X26" t="str" cm="1">
        <f t="array" aca="1" ref="X26" ca="1">INDEX($D$2:$D$101,RANDBETWEEN(1,ROWS(X27:X125)))</f>
        <v>Instant Coffee Machine</v>
      </c>
      <c r="Y26" t="str">
        <f t="shared" ca="1" si="26"/>
        <v>Brews coffee quickly and easily</v>
      </c>
      <c r="Z26" t="str" cm="1">
        <f t="array" aca="1" ref="Z26" ca="1">INDEX($D$2:$D$101,RANDBETWEEN(1,ROWS(Z27:Z125)))</f>
        <v>DisplayPort Cable</v>
      </c>
      <c r="AA26" t="str">
        <f t="shared" ca="1" si="27"/>
        <v>High-resolution monitor cable</v>
      </c>
      <c r="AB26" t="str" cm="1">
        <f t="array" aca="1" ref="AB26" ca="1">INDEX($D$2:$D$101,RANDBETWEEN(1,ROWS(AB27:AB125)))</f>
        <v>Cord Organizer Box</v>
      </c>
      <c r="AC26" t="str">
        <f t="shared" ca="1" si="28"/>
        <v>Box to hide and manage power strips</v>
      </c>
      <c r="AD26" t="str" cm="1">
        <f t="array" aca="1" ref="AD26" ca="1">INDEX($D$2:$D$101,RANDBETWEEN(1,ROWS(AD27:AD125)))</f>
        <v>Callus Remover</v>
      </c>
      <c r="AE26" t="str">
        <f t="shared" ca="1" si="29"/>
        <v>Removes dead skin from feet</v>
      </c>
      <c r="AF26" t="str" cm="1">
        <f t="array" aca="1" ref="AF26" ca="1">INDEX($D$2:$D$101,RANDBETWEEN(1,ROWS(AF27:AF125)))</f>
        <v>Foldable Hair Dryer</v>
      </c>
      <c r="AG26" t="str">
        <f t="shared" ca="1" si="30"/>
        <v>Compact, travel-friendly hair dryer</v>
      </c>
      <c r="AH26" t="str" cm="1">
        <f t="array" aca="1" ref="AH26" ca="1">INDEX($D$2:$D$101,RANDBETWEEN(1,ROWS(AH27:AH125)))</f>
        <v>Portable Car Heater</v>
      </c>
      <c r="AI26" t="str">
        <f t="shared" ca="1" si="31"/>
        <v>12V heater for car interiors</v>
      </c>
      <c r="AJ26" t="str" cm="1">
        <f t="array" aca="1" ref="AJ26" ca="1">INDEX($D$2:$D$101,RANDBETWEEN(1,ROWS(AJ27:AJ125)))</f>
        <v>Espresso Machine</v>
      </c>
      <c r="AK26" t="str">
        <f t="shared" ca="1" si="14"/>
        <v>Makes espresso coffee drinks</v>
      </c>
      <c r="AL26" t="str" cm="1">
        <f t="array" aca="1" ref="AL26" ca="1">INDEX($D$2:$D$101,RANDBETWEEN(1,ROWS(AL27:AL125)))</f>
        <v>Soundbar</v>
      </c>
      <c r="AM26" t="str">
        <f t="shared" ca="1" si="32"/>
        <v>Compact speaker bar for TVs</v>
      </c>
      <c r="AN26" t="str" cm="1">
        <f t="array" aca="1" ref="AN26" ca="1">INDEX($D$2:$D$101,RANDBETWEEN(1,ROWS(AN27:AN125)))</f>
        <v>Electric Chopper</v>
      </c>
      <c r="AO26" t="str">
        <f t="shared" ca="1" si="33"/>
        <v>Chops vegetables and fruits quickly</v>
      </c>
      <c r="AP26" t="str" cm="1">
        <f t="array" aca="1" ref="AP26" ca="1">INDEX($D$2:$D$101,RANDBETWEEN(1,ROWS(AP27:AP125)))</f>
        <v>Ice Maker</v>
      </c>
      <c r="AQ26" t="str">
        <f t="shared" ca="1" si="34"/>
        <v>Machine that produces ice cubes automatically</v>
      </c>
    </row>
    <row r="27" spans="1:43" ht="20.5" customHeight="1" x14ac:dyDescent="0.3">
      <c r="A27" s="22">
        <v>126</v>
      </c>
      <c r="B27" t="s">
        <v>343</v>
      </c>
      <c r="C27" t="s">
        <v>95</v>
      </c>
      <c r="D27" s="1" t="s">
        <v>96</v>
      </c>
      <c r="E27" s="1" t="s">
        <v>97</v>
      </c>
      <c r="F27" t="str" cm="1">
        <f t="array" aca="1" ref="F27" ca="1">INDEX($D$2:$D$101,RANDBETWEEN(1,ROWS(F28:F126)))</f>
        <v>Ultrasonic Skin Cleaner</v>
      </c>
      <c r="G27" t="str">
        <f t="shared" ca="1" si="0"/>
        <v>Deep cleans skin using ultrasonic waves</v>
      </c>
      <c r="H27" t="str" cm="1">
        <f t="array" aca="1" ref="H27" ca="1">INDEX($D$2:$D$101,RANDBETWEEN(1,ROWS(H28:H126)))</f>
        <v>Milk Frother</v>
      </c>
      <c r="I27" t="str">
        <f t="shared" ca="1" si="18"/>
        <v>Froths milk for lattes and cappuccinos</v>
      </c>
      <c r="J27" t="str" cm="1">
        <f t="array" aca="1" ref="J27" ca="1">INDEX($D$2:$D$101,RANDBETWEEN(1,ROWS(J28:J126)))</f>
        <v>Waffle Maker</v>
      </c>
      <c r="K27" t="str">
        <f t="shared" ca="1" si="19"/>
        <v>Makes waffles at home</v>
      </c>
      <c r="L27" t="str" cm="1">
        <f t="array" aca="1" ref="L27" ca="1">INDEX($D$2:$D$101,RANDBETWEEN(1,ROWS(L28:L126)))</f>
        <v>TV Wall Mount</v>
      </c>
      <c r="M27" t="str">
        <f t="shared" ca="1" si="20"/>
        <v>Mounting bracket for flat TVs</v>
      </c>
      <c r="N27" t="str" cm="1">
        <f t="array" aca="1" ref="N27" ca="1">INDEX($D$2:$D$101,RANDBETWEEN(1,ROWS(N28:N126)))</f>
        <v>Digital Multimeter</v>
      </c>
      <c r="O27" t="str">
        <f t="shared" ca="1" si="21"/>
        <v>Measures voltage, current, resistance</v>
      </c>
      <c r="P27" t="str" cm="1">
        <f t="array" aca="1" ref="P27" ca="1">INDEX($D$2:$D$101,RANDBETWEEN(1,ROWS(P28:P126)))</f>
        <v>Espresso Machine</v>
      </c>
      <c r="Q27" t="str">
        <f t="shared" ca="1" si="22"/>
        <v>Makes espresso coffee drinks</v>
      </c>
      <c r="R27" t="str" cm="1">
        <f t="array" aca="1" ref="R27" ca="1">INDEX($D$2:$D$101,RANDBETWEEN(1,ROWS(R28:R126)))</f>
        <v>Soundbar</v>
      </c>
      <c r="S27" t="str">
        <f t="shared" ca="1" si="23"/>
        <v>Compact speaker bar for TVs</v>
      </c>
      <c r="T27" t="str" cm="1">
        <f t="array" aca="1" ref="T27" ca="1">INDEX($D$2:$D$101,RANDBETWEEN(1,ROWS(T28:T126)))</f>
        <v>Smart Car Charger</v>
      </c>
      <c r="U27" t="str">
        <f t="shared" ca="1" si="24"/>
        <v>USB charger with smart protection features</v>
      </c>
      <c r="V27" t="str" cm="1">
        <f t="array" aca="1" ref="V27" ca="1">INDEX($D$2:$D$101,RANDBETWEEN(1,ROWS(V28:V126)))</f>
        <v>Egg Boiler</v>
      </c>
      <c r="W27" t="str">
        <f t="shared" ca="1" si="25"/>
        <v>Automatically boils eggs</v>
      </c>
      <c r="X27" t="str" cm="1">
        <f t="array" aca="1" ref="X27" ca="1">INDEX($D$2:$D$101,RANDBETWEEN(1,ROWS(X28:X126)))</f>
        <v>Pancake Maker</v>
      </c>
      <c r="Y27" t="str">
        <f t="shared" ca="1" si="26"/>
        <v>Easy tool for making pancakes</v>
      </c>
      <c r="Z27" t="str" cm="1">
        <f t="array" aca="1" ref="Z27" ca="1">INDEX($D$2:$D$101,RANDBETWEEN(1,ROWS(Z28:Z126)))</f>
        <v>Portable Car Heater</v>
      </c>
      <c r="AA27" t="str">
        <f t="shared" ca="1" si="27"/>
        <v>12V heater for car interiors</v>
      </c>
      <c r="AB27" t="str" cm="1">
        <f t="array" aca="1" ref="AB27" ca="1">INDEX($D$2:$D$101,RANDBETWEEN(1,ROWS(AB28:AB126)))</f>
        <v>Inverter AC</v>
      </c>
      <c r="AC27" t="str">
        <f t="shared" ca="1" si="28"/>
        <v>Energy-efficient air conditioner</v>
      </c>
      <c r="AD27" t="str" cm="1">
        <f t="array" aca="1" ref="AD27" ca="1">INDEX($D$2:$D$101,RANDBETWEEN(1,ROWS(AD28:AD126)))</f>
        <v>Crepe Maker</v>
      </c>
      <c r="AE27" t="str">
        <f t="shared" ca="1" si="29"/>
        <v>Electric pan for making crepes</v>
      </c>
      <c r="AF27" t="str" cm="1">
        <f t="array" aca="1" ref="AF27" ca="1">INDEX($D$2:$D$101,RANDBETWEEN(1,ROWS(AF28:AF126)))</f>
        <v>Extension Board with USB</v>
      </c>
      <c r="AG27" t="str">
        <f t="shared" ca="1" si="30"/>
        <v>Power strip with USB charging ports</v>
      </c>
      <c r="AH27" t="str" cm="1">
        <f t="array" aca="1" ref="AH27" ca="1">INDEX($D$2:$D$101,RANDBETWEEN(1,ROWS(AH28:AH126)))</f>
        <v>Portable Power Station</v>
      </c>
      <c r="AI27" t="str">
        <f t="shared" ca="1" si="31"/>
        <v>Rechargeable power supply for outdoors</v>
      </c>
      <c r="AJ27" t="str" cm="1">
        <f t="array" aca="1" ref="AJ27" ca="1">INDEX($D$2:$D$101,RANDBETWEEN(1,ROWS(AJ28:AJ126)))</f>
        <v>Car Air Purifier</v>
      </c>
      <c r="AK27" t="str">
        <f t="shared" ca="1" si="14"/>
        <v>Filters air inside vehicles</v>
      </c>
      <c r="AL27" t="str" cm="1">
        <f t="array" aca="1" ref="AL27" ca="1">INDEX($D$2:$D$101,RANDBETWEEN(1,ROWS(AL28:AL126)))</f>
        <v>Wall-Mounted Fan</v>
      </c>
      <c r="AM27" t="str">
        <f t="shared" ca="1" si="32"/>
        <v>Space-saving fan for wall mounting</v>
      </c>
      <c r="AN27" t="str" cm="1">
        <f t="array" aca="1" ref="AN27" ca="1">INDEX($D$2:$D$101,RANDBETWEEN(1,ROWS(AN28:AN126)))</f>
        <v>Water Dispenser</v>
      </c>
      <c r="AO27" t="str">
        <f t="shared" ca="1" si="33"/>
        <v>Dispenses hot and cold water</v>
      </c>
      <c r="AP27" t="str" cm="1">
        <f t="array" aca="1" ref="AP27" ca="1">INDEX($D$2:$D$101,RANDBETWEEN(1,ROWS(AP28:AP126)))</f>
        <v>Facial Steamer</v>
      </c>
      <c r="AQ27" t="str">
        <f t="shared" ca="1" si="34"/>
        <v>Opens pores for skincare routine</v>
      </c>
    </row>
    <row r="28" spans="1:43" ht="20.5" customHeight="1" x14ac:dyDescent="0.3">
      <c r="A28" s="22">
        <v>127</v>
      </c>
      <c r="B28" t="s">
        <v>344</v>
      </c>
      <c r="C28" t="s">
        <v>98</v>
      </c>
      <c r="D28" s="1" t="s">
        <v>99</v>
      </c>
      <c r="E28" s="1" t="s">
        <v>100</v>
      </c>
      <c r="F28" t="str" cm="1">
        <f t="array" aca="1" ref="F28" ca="1">INDEX($D$2:$D$101,RANDBETWEEN(1,ROWS(F29:F127)))</f>
        <v>Mesh Wi-Fi System</v>
      </c>
      <c r="G28" t="str">
        <f t="shared" ca="1" si="0"/>
        <v>Whole-home wireless coverage</v>
      </c>
      <c r="H28" t="str" cm="1">
        <f t="array" aca="1" ref="H28" ca="1">INDEX($D$2:$D$101,RANDBETWEEN(1,ROWS(H29:H127)))</f>
        <v>Dashcam Rear Camera</v>
      </c>
      <c r="I28" t="str">
        <f t="shared" ca="1" si="18"/>
        <v>Rear view recording for vehicles</v>
      </c>
      <c r="J28" t="str" cm="1">
        <f t="array" aca="1" ref="J28" ca="1">INDEX($D$2:$D$101,RANDBETWEEN(1,ROWS(J29:J127)))</f>
        <v>Hair Removal Epilator</v>
      </c>
      <c r="K28" t="str">
        <f t="shared" ca="1" si="19"/>
        <v>Plucks hair from root electrically</v>
      </c>
      <c r="L28" t="str" cm="1">
        <f t="array" aca="1" ref="L28" ca="1">INDEX($D$2:$D$101,RANDBETWEEN(1,ROWS(L29:L127)))</f>
        <v>Tower Fan</v>
      </c>
      <c r="M28" t="str">
        <f t="shared" ca="1" si="20"/>
        <v>Space-saving vertical fan</v>
      </c>
      <c r="N28" t="str" cm="1">
        <f t="array" aca="1" ref="N28" ca="1">INDEX($D$2:$D$101,RANDBETWEEN(1,ROWS(N29:N127)))</f>
        <v>Facial Steamer</v>
      </c>
      <c r="O28" t="str">
        <f t="shared" ca="1" si="21"/>
        <v>Opens pores for skincare routine</v>
      </c>
      <c r="P28" t="str" cm="1">
        <f t="array" aca="1" ref="P28" ca="1">INDEX($D$2:$D$101,RANDBETWEEN(1,ROWS(P29:P127)))</f>
        <v>Electric Facial Brush</v>
      </c>
      <c r="Q28" t="str">
        <f t="shared" ca="1" si="22"/>
        <v>Cleansing brush for exfoliation</v>
      </c>
      <c r="R28" t="str" cm="1">
        <f t="array" aca="1" ref="R28" ca="1">INDEX($D$2:$D$101,RANDBETWEEN(1,ROWS(R29:R127)))</f>
        <v>Mosquito Killer Lamp</v>
      </c>
      <c r="S28" t="str">
        <f t="shared" ca="1" si="23"/>
        <v>Electric trap for mosquitoes</v>
      </c>
      <c r="T28" t="str" cm="1">
        <f t="array" aca="1" ref="T28" ca="1">INDEX($D$2:$D$101,RANDBETWEEN(1,ROWS(T29:T127)))</f>
        <v>Gas Leak Detector</v>
      </c>
      <c r="U28" t="str">
        <f t="shared" ca="1" si="24"/>
        <v>Detects gas leaks in the kitchen</v>
      </c>
      <c r="V28" t="str" cm="1">
        <f t="array" aca="1" ref="V28" ca="1">INDEX($D$2:$D$101,RANDBETWEEN(1,ROWS(V29:V127)))</f>
        <v>Dashcam Rear Camera</v>
      </c>
      <c r="W28" t="str">
        <f t="shared" ca="1" si="25"/>
        <v>Rear view recording for vehicles</v>
      </c>
      <c r="X28" t="str" cm="1">
        <f t="array" aca="1" ref="X28" ca="1">INDEX($D$2:$D$101,RANDBETWEEN(1,ROWS(X29:X127)))</f>
        <v>Laptop Stand</v>
      </c>
      <c r="Y28" t="str">
        <f t="shared" ca="1" si="26"/>
        <v>Raises laptop for ergonomic use</v>
      </c>
      <c r="Z28" t="str" cm="1">
        <f t="array" aca="1" ref="Z28" ca="1">INDEX($D$2:$D$101,RANDBETWEEN(1,ROWS(Z29:Z127)))</f>
        <v>Mini Fridge</v>
      </c>
      <c r="AA28" t="str">
        <f t="shared" ca="1" si="27"/>
        <v>Compact refrigerator for beverages</v>
      </c>
      <c r="AB28" t="str" cm="1">
        <f t="array" aca="1" ref="AB28" ca="1">INDEX($D$2:$D$101,RANDBETWEEN(1,ROWS(AB29:AB127)))</f>
        <v>Callus Remover</v>
      </c>
      <c r="AC28" t="str">
        <f t="shared" ca="1" si="28"/>
        <v>Removes dead skin from feet</v>
      </c>
      <c r="AD28" t="str" cm="1">
        <f t="array" aca="1" ref="AD28" ca="1">INDEX($D$2:$D$101,RANDBETWEEN(1,ROWS(AD29:AD127)))</f>
        <v>Smart Switch</v>
      </c>
      <c r="AE28" t="str">
        <f t="shared" ca="1" si="29"/>
        <v>Wi-Fi-enabled wall switch for remote operation</v>
      </c>
      <c r="AF28" t="str" cm="1">
        <f t="array" aca="1" ref="AF28" ca="1">INDEX($D$2:$D$101,RANDBETWEEN(1,ROWS(AF29:AF127)))</f>
        <v>Callus Remover</v>
      </c>
      <c r="AG28" t="str">
        <f t="shared" ca="1" si="30"/>
        <v>Removes dead skin from feet</v>
      </c>
      <c r="AH28" t="str" cm="1">
        <f t="array" aca="1" ref="AH28" ca="1">INDEX($D$2:$D$101,RANDBETWEEN(1,ROWS(AH29:AH127)))</f>
        <v>Dashcam Rear Camera</v>
      </c>
      <c r="AI28" t="str">
        <f t="shared" ca="1" si="31"/>
        <v>Rear view recording for vehicles</v>
      </c>
      <c r="AJ28" t="str" cm="1">
        <f t="array" aca="1" ref="AJ28" ca="1">INDEX($D$2:$D$101,RANDBETWEEN(1,ROWS(AJ29:AJ127)))</f>
        <v>Smart Rearview Mirror</v>
      </c>
      <c r="AK28" t="str">
        <f t="shared" ca="1" si="14"/>
        <v>Touchscreen mirror with GPS and camera</v>
      </c>
      <c r="AL28" t="str" cm="1">
        <f t="array" aca="1" ref="AL28" ca="1">INDEX($D$2:$D$101,RANDBETWEEN(1,ROWS(AL29:AL127)))</f>
        <v>Ultrasonic Skin Cleaner</v>
      </c>
      <c r="AM28" t="str">
        <f t="shared" ca="1" si="32"/>
        <v>Deep cleans skin using ultrasonic waves</v>
      </c>
      <c r="AN28" t="str" cm="1">
        <f t="array" aca="1" ref="AN28" ca="1">INDEX($D$2:$D$101,RANDBETWEEN(1,ROWS(AN29:AN127)))</f>
        <v>Smart Geyser</v>
      </c>
      <c r="AO28" t="str">
        <f t="shared" ca="1" si="33"/>
        <v>Internet-connected water heater</v>
      </c>
      <c r="AP28" t="str" cm="1">
        <f t="array" aca="1" ref="AP28" ca="1">INDEX($D$2:$D$101,RANDBETWEEN(1,ROWS(AP29:AP127)))</f>
        <v>Ice Maker</v>
      </c>
      <c r="AQ28" t="str">
        <f t="shared" ca="1" si="34"/>
        <v>Machine that produces ice cubes automatically</v>
      </c>
    </row>
    <row r="29" spans="1:43" ht="20.5" customHeight="1" x14ac:dyDescent="0.3">
      <c r="A29" s="22">
        <v>128</v>
      </c>
      <c r="B29" t="s">
        <v>345</v>
      </c>
      <c r="C29" t="s">
        <v>101</v>
      </c>
      <c r="D29" s="1" t="s">
        <v>102</v>
      </c>
      <c r="E29" s="1" t="s">
        <v>103</v>
      </c>
      <c r="F29" t="str" cm="1">
        <f t="array" aca="1" ref="F29" ca="1">INDEX($D$2:$D$101,RANDBETWEEN(1,ROWS(F30:F128)))</f>
        <v>Espresso Machine</v>
      </c>
      <c r="G29" t="str">
        <f t="shared" ca="1" si="0"/>
        <v>Makes espresso coffee drinks</v>
      </c>
      <c r="H29" t="str" cm="1">
        <f t="array" aca="1" ref="H29" ca="1">INDEX($D$2:$D$101,RANDBETWEEN(1,ROWS(H30:H128)))</f>
        <v>Smart Ceiling Light</v>
      </c>
      <c r="I29" t="str">
        <f t="shared" ca="1" si="18"/>
        <v>Wi-Fi-enabled, color-changing ceiling light</v>
      </c>
      <c r="J29" t="str" cm="1">
        <f t="array" aca="1" ref="J29" ca="1">INDEX($D$2:$D$101,RANDBETWEEN(1,ROWS(J30:J128)))</f>
        <v>Motion Detector</v>
      </c>
      <c r="K29" t="str">
        <f t="shared" ca="1" si="19"/>
        <v>Triggers alarm or light on motion detection</v>
      </c>
      <c r="L29" t="str" cm="1">
        <f t="array" aca="1" ref="L29" ca="1">INDEX($D$2:$D$101,RANDBETWEEN(1,ROWS(L30:L128)))</f>
        <v>Air Cooler</v>
      </c>
      <c r="M29" t="str">
        <f t="shared" ca="1" si="20"/>
        <v>Evaporative cooling appliance for rooms</v>
      </c>
      <c r="N29" t="str" cm="1">
        <f t="array" aca="1" ref="N29" ca="1">INDEX($D$2:$D$101,RANDBETWEEN(1,ROWS(N30:N128)))</f>
        <v>HDMI Switch</v>
      </c>
      <c r="O29" t="str">
        <f t="shared" ca="1" si="21"/>
        <v>Connects multiple HDMI devices</v>
      </c>
      <c r="P29" t="str" cm="1">
        <f t="array" aca="1" ref="P29" ca="1">INDEX($D$2:$D$101,RANDBETWEEN(1,ROWS(P30:P128)))</f>
        <v>Digital Multimeter</v>
      </c>
      <c r="Q29" t="str">
        <f t="shared" ca="1" si="22"/>
        <v>Measures voltage, current, resistance</v>
      </c>
      <c r="R29" t="str" cm="1">
        <f t="array" aca="1" ref="R29" ca="1">INDEX($D$2:$D$101,RANDBETWEEN(1,ROWS(R30:R128)))</f>
        <v>DisplayPort Cable</v>
      </c>
      <c r="S29" t="str">
        <f t="shared" ca="1" si="23"/>
        <v>High-resolution monitor cable</v>
      </c>
      <c r="T29" t="str" cm="1">
        <f t="array" aca="1" ref="T29" ca="1">INDEX($D$2:$D$101,RANDBETWEEN(1,ROWS(T30:T128)))</f>
        <v>Electric Chopper</v>
      </c>
      <c r="U29" t="str">
        <f t="shared" ca="1" si="24"/>
        <v>Chops vegetables and fruits quickly</v>
      </c>
      <c r="V29" t="str" cm="1">
        <f t="array" aca="1" ref="V29" ca="1">INDEX($D$2:$D$101,RANDBETWEEN(1,ROWS(V30:V128)))</f>
        <v>Hair Removal Epilator</v>
      </c>
      <c r="W29" t="str">
        <f t="shared" ca="1" si="25"/>
        <v>Plucks hair from root electrically</v>
      </c>
      <c r="X29" t="str" cm="1">
        <f t="array" aca="1" ref="X29" ca="1">INDEX($D$2:$D$101,RANDBETWEEN(1,ROWS(X30:X128)))</f>
        <v>Electric Nail File Kit</v>
      </c>
      <c r="Y29" t="str">
        <f t="shared" ca="1" si="26"/>
        <v>For manicure and pedicure at home</v>
      </c>
      <c r="Z29" t="str" cm="1">
        <f t="array" aca="1" ref="Z29" ca="1">INDEX($D$2:$D$101,RANDBETWEEN(1,ROWS(Z30:Z128)))</f>
        <v>Personal Neck Fan</v>
      </c>
      <c r="AA29" t="str">
        <f t="shared" ca="1" si="27"/>
        <v>Wearable fan for hands-free cooling</v>
      </c>
      <c r="AB29" t="str" cm="1">
        <f t="array" aca="1" ref="AB29" ca="1">INDEX($D$2:$D$101,RANDBETWEEN(1,ROWS(AB30:AB128)))</f>
        <v>Smart Geyser</v>
      </c>
      <c r="AC29" t="str">
        <f t="shared" ca="1" si="28"/>
        <v>Internet-connected water heater</v>
      </c>
      <c r="AD29" t="str" cm="1">
        <f t="array" aca="1" ref="AD29" ca="1">INDEX($D$2:$D$101,RANDBETWEEN(1,ROWS(AD30:AD128)))</f>
        <v>Mesh Wi-Fi System</v>
      </c>
      <c r="AE29" t="str">
        <f t="shared" ca="1" si="29"/>
        <v>Whole-home wireless coverage</v>
      </c>
      <c r="AF29" t="str" cm="1">
        <f t="array" aca="1" ref="AF29" ca="1">INDEX($D$2:$D$101,RANDBETWEEN(1,ROWS(AF30:AF128)))</f>
        <v>Hair Removal Epilator</v>
      </c>
      <c r="AG29" t="str">
        <f t="shared" ca="1" si="30"/>
        <v>Plucks hair from root electrically</v>
      </c>
      <c r="AH29" t="str" cm="1">
        <f t="array" aca="1" ref="AH29" ca="1">INDEX($D$2:$D$101,RANDBETWEEN(1,ROWS(AH30:AH128)))</f>
        <v>Kitchen Weighing Scale</v>
      </c>
      <c r="AI29" t="str">
        <f t="shared" ca="1" si="31"/>
        <v>Measures food portions accurately</v>
      </c>
      <c r="AJ29" t="str" cm="1">
        <f t="array" aca="1" ref="AJ29" ca="1">INDEX($D$2:$D$101,RANDBETWEEN(1,ROWS(AJ30:AJ128)))</f>
        <v>Car Air Purifier</v>
      </c>
      <c r="AK29" t="str">
        <f t="shared" ca="1" si="14"/>
        <v>Filters air inside vehicles</v>
      </c>
      <c r="AL29" t="str" cm="1">
        <f t="array" aca="1" ref="AL29" ca="1">INDEX($D$2:$D$101,RANDBETWEEN(1,ROWS(AL30:AL128)))</f>
        <v>Extension Board with USB</v>
      </c>
      <c r="AM29" t="str">
        <f t="shared" ca="1" si="32"/>
        <v>Power strip with USB charging ports</v>
      </c>
      <c r="AN29" t="str" cm="1">
        <f t="array" aca="1" ref="AN29" ca="1">INDEX($D$2:$D$101,RANDBETWEEN(1,ROWS(AN30:AN128)))</f>
        <v>Electric Water Boiler</v>
      </c>
      <c r="AO29" t="str">
        <f t="shared" ca="1" si="33"/>
        <v>Quickly boils large volumes of water</v>
      </c>
      <c r="AP29" t="str" cm="1">
        <f t="array" aca="1" ref="AP29" ca="1">INDEX($D$2:$D$101,RANDBETWEEN(1,ROWS(AP30:AP128)))</f>
        <v>Tower Fan</v>
      </c>
      <c r="AQ29" t="str">
        <f t="shared" ca="1" si="34"/>
        <v>Space-saving vertical fan</v>
      </c>
    </row>
    <row r="30" spans="1:43" ht="20.5" customHeight="1" x14ac:dyDescent="0.3">
      <c r="A30" s="22">
        <v>129</v>
      </c>
      <c r="B30" t="s">
        <v>346</v>
      </c>
      <c r="C30" t="s">
        <v>104</v>
      </c>
      <c r="D30" s="1" t="s">
        <v>105</v>
      </c>
      <c r="E30" s="1" t="s">
        <v>106</v>
      </c>
      <c r="F30" t="str" cm="1">
        <f t="array" aca="1" ref="F30" ca="1">INDEX($D$2:$D$101,RANDBETWEEN(1,ROWS(F31:F129)))</f>
        <v>DisplayPort Cable</v>
      </c>
      <c r="G30" t="str">
        <f t="shared" ca="1" si="0"/>
        <v>High-resolution monitor cable</v>
      </c>
      <c r="H30" t="str" cm="1">
        <f t="array" aca="1" ref="H30" ca="1">INDEX($D$2:$D$101,RANDBETWEEN(1,ROWS(H31:H129)))</f>
        <v>DisplayPort Cable</v>
      </c>
      <c r="I30" t="str">
        <f t="shared" ca="1" si="18"/>
        <v>High-resolution monitor cable</v>
      </c>
      <c r="J30" t="str" cm="1">
        <f t="array" aca="1" ref="J30" ca="1">INDEX($D$2:$D$101,RANDBETWEEN(1,ROWS(J31:J129)))</f>
        <v>Personal Neck Fan</v>
      </c>
      <c r="K30" t="str">
        <f t="shared" ca="1" si="19"/>
        <v>Wearable fan for hands-free cooling</v>
      </c>
      <c r="L30" t="str" cm="1">
        <f t="array" aca="1" ref="L30" ca="1">INDEX($D$2:$D$101,RANDBETWEEN(1,ROWS(L31:L129)))</f>
        <v>Smart Toothbrush</v>
      </c>
      <c r="M30" t="str">
        <f t="shared" ca="1" si="20"/>
        <v>Electric brush with Bluetooth tracking</v>
      </c>
      <c r="N30" t="str" cm="1">
        <f t="array" aca="1" ref="N30" ca="1">INDEX($D$2:$D$101,RANDBETWEEN(1,ROWS(N31:N129)))</f>
        <v>Wall-Mounted Fan</v>
      </c>
      <c r="O30" t="str">
        <f t="shared" ca="1" si="21"/>
        <v>Space-saving fan for wall mounting</v>
      </c>
      <c r="P30" t="str" cm="1">
        <f t="array" aca="1" ref="P30" ca="1">INDEX($D$2:$D$101,RANDBETWEEN(1,ROWS(P31:P129)))</f>
        <v>Personal Neck Fan</v>
      </c>
      <c r="Q30" t="str">
        <f t="shared" ca="1" si="22"/>
        <v>Wearable fan for hands-free cooling</v>
      </c>
      <c r="R30" t="str" cm="1">
        <f t="array" aca="1" ref="R30" ca="1">INDEX($D$2:$D$101,RANDBETWEEN(1,ROWS(R31:R129)))</f>
        <v>Portable Air Conditioner</v>
      </c>
      <c r="S30" t="str">
        <f t="shared" ca="1" si="23"/>
        <v>Compact AC unit for small spaces</v>
      </c>
      <c r="T30" t="str" cm="1">
        <f t="array" aca="1" ref="T30" ca="1">INDEX($D$2:$D$101,RANDBETWEEN(1,ROWS(T31:T129)))</f>
        <v>Callus Remover</v>
      </c>
      <c r="U30" t="str">
        <f t="shared" ca="1" si="24"/>
        <v>Removes dead skin from feet</v>
      </c>
      <c r="V30" t="str" cm="1">
        <f t="array" aca="1" ref="V30" ca="1">INDEX($D$2:$D$101,RANDBETWEEN(1,ROWS(V31:V129)))</f>
        <v>Electric Water Boiler</v>
      </c>
      <c r="W30" t="str">
        <f t="shared" ca="1" si="25"/>
        <v>Quickly boils large volumes of water</v>
      </c>
      <c r="X30" t="str" cm="1">
        <f t="array" aca="1" ref="X30" ca="1">INDEX($D$2:$D$101,RANDBETWEEN(1,ROWS(X31:X129)))</f>
        <v>Smart Microwave</v>
      </c>
      <c r="Y30" t="str">
        <f t="shared" ca="1" si="26"/>
        <v>Microwave with voice or app control</v>
      </c>
      <c r="Z30" t="str" cm="1">
        <f t="array" aca="1" ref="Z30" ca="1">INDEX($D$2:$D$101,RANDBETWEEN(1,ROWS(Z31:Z129)))</f>
        <v>Heated Eyelash Curler</v>
      </c>
      <c r="AA30" t="str">
        <f t="shared" ca="1" si="27"/>
        <v>Shapes eyelashes with gentle heat</v>
      </c>
      <c r="AB30" t="str" cm="1">
        <f t="array" aca="1" ref="AB30" ca="1">INDEX($D$2:$D$101,RANDBETWEEN(1,ROWS(AB31:AB129)))</f>
        <v>Ceiling Light with Fan</v>
      </c>
      <c r="AC30" t="str">
        <f t="shared" ca="1" si="28"/>
        <v>Dual-function decorative ceiling light with built-in fan</v>
      </c>
      <c r="AD30" t="str" cm="1">
        <f t="array" aca="1" ref="AD30" ca="1">INDEX($D$2:$D$101,RANDBETWEEN(1,ROWS(AD31:AD129)))</f>
        <v>Crepe Maker</v>
      </c>
      <c r="AE30" t="str">
        <f t="shared" ca="1" si="29"/>
        <v>Electric pan for making crepes</v>
      </c>
      <c r="AF30" t="str" cm="1">
        <f t="array" aca="1" ref="AF30" ca="1">INDEX($D$2:$D$101,RANDBETWEEN(1,ROWS(AF31:AF129)))</f>
        <v>Pancake Maker</v>
      </c>
      <c r="AG30" t="str">
        <f t="shared" ca="1" si="30"/>
        <v>Easy tool for making pancakes</v>
      </c>
      <c r="AH30" t="str" cm="1">
        <f t="array" aca="1" ref="AH30" ca="1">INDEX($D$2:$D$101,RANDBETWEEN(1,ROWS(AH31:AH129)))</f>
        <v>HDMI Switch</v>
      </c>
      <c r="AI30" t="str">
        <f t="shared" ca="1" si="31"/>
        <v>Connects multiple HDMI devices</v>
      </c>
      <c r="AJ30" t="str" cm="1">
        <f t="array" aca="1" ref="AJ30" ca="1">INDEX($D$2:$D$101,RANDBETWEEN(1,ROWS(AJ31:AJ129)))</f>
        <v>TV Wall Mount</v>
      </c>
      <c r="AK30" t="str">
        <f t="shared" ca="1" si="14"/>
        <v>Mounting bracket for flat TVs</v>
      </c>
      <c r="AL30" t="str" cm="1">
        <f t="array" aca="1" ref="AL30" ca="1">INDEX($D$2:$D$101,RANDBETWEEN(1,ROWS(AL31:AL129)))</f>
        <v>Chimney Hood</v>
      </c>
      <c r="AM30" t="str">
        <f t="shared" ca="1" si="32"/>
        <v>Kitchen exhaust for smoke and fumes</v>
      </c>
      <c r="AN30" t="str" cm="1">
        <f t="array" aca="1" ref="AN30" ca="1">INDEX($D$2:$D$101,RANDBETWEEN(1,ROWS(AN31:AN129)))</f>
        <v>Smart Geyser</v>
      </c>
      <c r="AO30" t="str">
        <f t="shared" ca="1" si="33"/>
        <v>Internet-connected water heater</v>
      </c>
      <c r="AP30" t="str" cm="1">
        <f t="array" aca="1" ref="AP30" ca="1">INDEX($D$2:$D$101,RANDBETWEEN(1,ROWS(AP31:AP129)))</f>
        <v>Motion Detector</v>
      </c>
      <c r="AQ30" t="str">
        <f t="shared" ca="1" si="34"/>
        <v>Triggers alarm or light on motion detection</v>
      </c>
    </row>
    <row r="31" spans="1:43" ht="20.5" customHeight="1" x14ac:dyDescent="0.3">
      <c r="A31" s="22">
        <v>130</v>
      </c>
      <c r="B31" t="s">
        <v>347</v>
      </c>
      <c r="C31" t="s">
        <v>107</v>
      </c>
      <c r="D31" s="1" t="s">
        <v>108</v>
      </c>
      <c r="E31" s="1" t="s">
        <v>109</v>
      </c>
      <c r="F31" t="str" cm="1">
        <f t="array" aca="1" ref="F31" ca="1">INDEX($D$2:$D$101,RANDBETWEEN(1,ROWS(F32:F130)))</f>
        <v>TV Wall Mount</v>
      </c>
      <c r="G31" t="str">
        <f t="shared" ca="1" si="0"/>
        <v>Mounting bracket for flat TVs</v>
      </c>
      <c r="H31" t="str" cm="1">
        <f t="array" aca="1" ref="H31" ca="1">INDEX($D$2:$D$101,RANDBETWEEN(1,ROWS(H32:H130)))</f>
        <v>Smart Car Charger</v>
      </c>
      <c r="I31" t="str">
        <f t="shared" ca="1" si="18"/>
        <v>USB charger with smart protection features</v>
      </c>
      <c r="J31" t="str" cm="1">
        <f t="array" aca="1" ref="J31" ca="1">INDEX($D$2:$D$101,RANDBETWEEN(1,ROWS(J32:J130)))</f>
        <v>Smart Energy Monitor</v>
      </c>
      <c r="K31" t="str">
        <f t="shared" ca="1" si="19"/>
        <v>Tracks power consumption in real-time</v>
      </c>
      <c r="L31" t="str" cm="1">
        <f t="array" aca="1" ref="L31" ca="1">INDEX($D$2:$D$101,RANDBETWEEN(1,ROWS(L32:L130)))</f>
        <v>Subwoofer</v>
      </c>
      <c r="M31" t="str">
        <f t="shared" ca="1" si="20"/>
        <v>Deep bass audio speaker</v>
      </c>
      <c r="N31" t="str" cm="1">
        <f t="array" aca="1" ref="N31" ca="1">INDEX($D$2:$D$101,RANDBETWEEN(1,ROWS(N32:N130)))</f>
        <v>Extension Board with USB</v>
      </c>
      <c r="O31" t="str">
        <f t="shared" ca="1" si="21"/>
        <v>Power strip with USB charging ports</v>
      </c>
      <c r="P31" t="str" cm="1">
        <f t="array" aca="1" ref="P31" ca="1">INDEX($D$2:$D$101,RANDBETWEEN(1,ROWS(P32:P130)))</f>
        <v>HDMI Cable</v>
      </c>
      <c r="Q31" t="str">
        <f t="shared" ca="1" si="22"/>
        <v>Transfers audio/video signals</v>
      </c>
      <c r="R31" t="str" cm="1">
        <f t="array" aca="1" ref="R31" ca="1">INDEX($D$2:$D$101,RANDBETWEEN(1,ROWS(R32:R130)))</f>
        <v>Smart Toothbrush</v>
      </c>
      <c r="S31" t="str">
        <f t="shared" ca="1" si="23"/>
        <v>Electric brush with Bluetooth tracking</v>
      </c>
      <c r="T31" t="str" cm="1">
        <f t="array" aca="1" ref="T31" ca="1">INDEX($D$2:$D$101,RANDBETWEEN(1,ROWS(T32:T130)))</f>
        <v>USB-C Docking Station</v>
      </c>
      <c r="U31" t="str">
        <f t="shared" ca="1" si="24"/>
        <v>Expands ports for laptops</v>
      </c>
      <c r="V31" t="str" cm="1">
        <f t="array" aca="1" ref="V31" ca="1">INDEX($D$2:$D$101,RANDBETWEEN(1,ROWS(V32:V130)))</f>
        <v>Cold Press Juicer</v>
      </c>
      <c r="W31" t="str">
        <f t="shared" ca="1" si="25"/>
        <v>Slow juicer for better nutrient retention</v>
      </c>
      <c r="X31" t="str" cm="1">
        <f t="array" aca="1" ref="X31" ca="1">INDEX($D$2:$D$101,RANDBETWEEN(1,ROWS(X32:X130)))</f>
        <v>Bluetooth Transmitter</v>
      </c>
      <c r="Y31" t="str">
        <f t="shared" ca="1" si="26"/>
        <v>Sends audio to Bluetooth devices</v>
      </c>
      <c r="Z31" t="str" cm="1">
        <f t="array" aca="1" ref="Z31" ca="1">INDEX($D$2:$D$101,RANDBETWEEN(1,ROWS(Z32:Z130)))</f>
        <v>Pedestal Fan</v>
      </c>
      <c r="AA31" t="str">
        <f t="shared" ca="1" si="27"/>
        <v>Adjustable stand fan for personal cooling</v>
      </c>
      <c r="AB31" t="str" cm="1">
        <f t="array" aca="1" ref="AB31" ca="1">INDEX($D$2:$D$101,RANDBETWEEN(1,ROWS(AB32:AB130)))</f>
        <v>Smart Ceiling Light</v>
      </c>
      <c r="AC31" t="str">
        <f t="shared" ca="1" si="28"/>
        <v>Wi-Fi-enabled, color-changing ceiling light</v>
      </c>
      <c r="AD31" t="str" cm="1">
        <f t="array" aca="1" ref="AD31" ca="1">INDEX($D$2:$D$101,RANDBETWEEN(1,ROWS(AD32:AD130)))</f>
        <v>Mesh Wi-Fi System</v>
      </c>
      <c r="AE31" t="str">
        <f t="shared" ca="1" si="29"/>
        <v>Whole-home wireless coverage</v>
      </c>
      <c r="AF31" t="str" cm="1">
        <f t="array" aca="1" ref="AF31" ca="1">INDEX($D$2:$D$101,RANDBETWEEN(1,ROWS(AF32:AF130)))</f>
        <v>Emergency Solar Light</v>
      </c>
      <c r="AG31" t="str">
        <f t="shared" ca="1" si="30"/>
        <v>Solar-powered backup light</v>
      </c>
      <c r="AH31" t="str" cm="1">
        <f t="array" aca="1" ref="AH31" ca="1">INDEX($D$2:$D$101,RANDBETWEEN(1,ROWS(AH32:AH130)))</f>
        <v>Emergency Solar Light</v>
      </c>
      <c r="AI31" t="str">
        <f t="shared" ca="1" si="31"/>
        <v>Solar-powered backup light</v>
      </c>
      <c r="AJ31" t="str" cm="1">
        <f t="array" aca="1" ref="AJ31" ca="1">INDEX($D$2:$D$101,RANDBETWEEN(1,ROWS(AJ32:AJ130)))</f>
        <v>Kitchen Weighing Scale</v>
      </c>
      <c r="AK31" t="str">
        <f t="shared" ca="1" si="14"/>
        <v>Measures food portions accurately</v>
      </c>
      <c r="AL31" t="str" cm="1">
        <f t="array" aca="1" ref="AL31" ca="1">INDEX($D$2:$D$101,RANDBETWEEN(1,ROWS(AL32:AL130)))</f>
        <v>Hygrometer</v>
      </c>
      <c r="AM31" t="str">
        <f t="shared" ca="1" si="32"/>
        <v>Measures indoor humidity levels</v>
      </c>
      <c r="AN31" t="str" cm="1">
        <f t="array" aca="1" ref="AN31" ca="1">INDEX($D$2:$D$101,RANDBETWEEN(1,ROWS(AN32:AN130)))</f>
        <v>LED Desk Lamp</v>
      </c>
      <c r="AO31" t="str">
        <f t="shared" ca="1" si="33"/>
        <v>Adjustable desk lamp with LED lighting</v>
      </c>
      <c r="AP31" t="str" cm="1">
        <f t="array" aca="1" ref="AP31" ca="1">INDEX($D$2:$D$101,RANDBETWEEN(1,ROWS(AP32:AP130)))</f>
        <v>Facial Steamer</v>
      </c>
      <c r="AQ31" t="str">
        <f t="shared" ca="1" si="34"/>
        <v>Opens pores for skincare routine</v>
      </c>
    </row>
    <row r="32" spans="1:43" ht="20.5" customHeight="1" x14ac:dyDescent="0.3">
      <c r="A32" s="22">
        <v>131</v>
      </c>
      <c r="B32" t="s">
        <v>348</v>
      </c>
      <c r="C32" t="s">
        <v>110</v>
      </c>
      <c r="D32" s="1" t="s">
        <v>111</v>
      </c>
      <c r="E32" s="1" t="s">
        <v>112</v>
      </c>
      <c r="F32" t="str" cm="1">
        <f t="array" aca="1" ref="F32" ca="1">INDEX($D$2:$D$101,RANDBETWEEN(1,ROWS(F33:F131)))</f>
        <v>Hygrometer</v>
      </c>
      <c r="G32" t="str">
        <f t="shared" ca="1" si="0"/>
        <v>Measures indoor humidity levels</v>
      </c>
      <c r="H32" t="str" cm="1">
        <f t="array" aca="1" ref="H32" ca="1">INDEX($D$2:$D$101,RANDBETWEEN(1,ROWS(H33:H131)))</f>
        <v>Ice Maker</v>
      </c>
      <c r="I32" t="str">
        <f t="shared" ca="1" si="18"/>
        <v>Machine that produces ice cubes automatically</v>
      </c>
      <c r="J32" t="str" cm="1">
        <f t="array" aca="1" ref="J32" ca="1">INDEX($D$2:$D$101,RANDBETWEEN(1,ROWS(J33:J131)))</f>
        <v>Emergency Solar Light</v>
      </c>
      <c r="K32" t="str">
        <f t="shared" ca="1" si="19"/>
        <v>Solar-powered backup light</v>
      </c>
      <c r="L32" t="str" cm="1">
        <f t="array" aca="1" ref="L32" ca="1">INDEX($D$2:$D$101,RANDBETWEEN(1,ROWS(L33:L131)))</f>
        <v>Emergency Solar Light</v>
      </c>
      <c r="M32" t="str">
        <f t="shared" ca="1" si="20"/>
        <v>Solar-powered backup light</v>
      </c>
      <c r="N32" t="str" cm="1">
        <f t="array" aca="1" ref="N32" ca="1">INDEX($D$2:$D$101,RANDBETWEEN(1,ROWS(N33:N131)))</f>
        <v>Portable Air Conditioner</v>
      </c>
      <c r="O32" t="str">
        <f t="shared" ca="1" si="21"/>
        <v>Compact AC unit for small spaces</v>
      </c>
      <c r="P32" t="str" cm="1">
        <f t="array" aca="1" ref="P32" ca="1">INDEX($D$2:$D$101,RANDBETWEEN(1,ROWS(P33:P131)))</f>
        <v>Air Humidifier with Light</v>
      </c>
      <c r="Q32" t="str">
        <f t="shared" ca="1" si="22"/>
        <v>Adds moisture and includes night light feature</v>
      </c>
      <c r="R32" t="str" cm="1">
        <f t="array" aca="1" ref="R32" ca="1">INDEX($D$2:$D$101,RANDBETWEEN(1,ROWS(R33:R131)))</f>
        <v>Smart Geyser</v>
      </c>
      <c r="S32" t="str">
        <f t="shared" ca="1" si="23"/>
        <v>Internet-connected water heater</v>
      </c>
      <c r="T32" t="str" cm="1">
        <f t="array" aca="1" ref="T32" ca="1">INDEX($D$2:$D$101,RANDBETWEEN(1,ROWS(T33:T131)))</f>
        <v>Car Air Purifier</v>
      </c>
      <c r="U32" t="str">
        <f t="shared" ca="1" si="24"/>
        <v>Filters air inside vehicles</v>
      </c>
      <c r="V32" t="str" cm="1">
        <f t="array" aca="1" ref="V32" ca="1">INDEX($D$2:$D$101,RANDBETWEEN(1,ROWS(V33:V131)))</f>
        <v>Inverter AC</v>
      </c>
      <c r="W32" t="str">
        <f t="shared" ca="1" si="25"/>
        <v>Energy-efficient air conditioner</v>
      </c>
      <c r="X32" t="str" cm="1">
        <f t="array" aca="1" ref="X32" ca="1">INDEX($D$2:$D$101,RANDBETWEEN(1,ROWS(X33:X131)))</f>
        <v>Smart Energy Monitor</v>
      </c>
      <c r="Y32" t="str">
        <f t="shared" ca="1" si="26"/>
        <v>Tracks power consumption in real-time</v>
      </c>
      <c r="Z32" t="str" cm="1">
        <f t="array" aca="1" ref="Z32" ca="1">INDEX($D$2:$D$101,RANDBETWEEN(1,ROWS(Z33:Z131)))</f>
        <v>Electric Egg Beater</v>
      </c>
      <c r="AA32" t="str">
        <f t="shared" ca="1" si="27"/>
        <v>Handheld electric whisk for baking</v>
      </c>
      <c r="AB32" t="str" cm="1">
        <f t="array" aca="1" ref="AB32" ca="1">INDEX($D$2:$D$101,RANDBETWEEN(1,ROWS(AB33:AB131)))</f>
        <v>Waffle Maker</v>
      </c>
      <c r="AC32" t="str">
        <f t="shared" ca="1" si="28"/>
        <v>Makes waffles at home</v>
      </c>
      <c r="AD32" t="str" cm="1">
        <f t="array" aca="1" ref="AD32" ca="1">INDEX($D$2:$D$101,RANDBETWEEN(1,ROWS(AD33:AD131)))</f>
        <v>Hygrometer</v>
      </c>
      <c r="AE32" t="str">
        <f t="shared" ca="1" si="29"/>
        <v>Measures indoor humidity levels</v>
      </c>
      <c r="AF32" t="str" cm="1">
        <f t="array" aca="1" ref="AF32" ca="1">INDEX($D$2:$D$101,RANDBETWEEN(1,ROWS(AF33:AF131)))</f>
        <v>Portable Power Station</v>
      </c>
      <c r="AG32" t="str">
        <f t="shared" ca="1" si="30"/>
        <v>Rechargeable power supply for outdoors</v>
      </c>
      <c r="AH32" t="str" cm="1">
        <f t="array" aca="1" ref="AH32" ca="1">INDEX($D$2:$D$101,RANDBETWEEN(1,ROWS(AH33:AH131)))</f>
        <v>Smart Washing Machine</v>
      </c>
      <c r="AI32" t="str">
        <f t="shared" ca="1" si="31"/>
        <v>Wi-Fi-enabled washer with remote control options</v>
      </c>
      <c r="AJ32" t="str" cm="1">
        <f t="array" aca="1" ref="AJ32" ca="1">INDEX($D$2:$D$101,RANDBETWEEN(1,ROWS(AJ33:AJ131)))</f>
        <v>Egg Boiler</v>
      </c>
      <c r="AK32" t="str">
        <f t="shared" ca="1" si="14"/>
        <v>Automatically boils eggs</v>
      </c>
      <c r="AL32" t="str" cm="1">
        <f t="array" aca="1" ref="AL32" ca="1">INDEX($D$2:$D$101,RANDBETWEEN(1,ROWS(AL33:AL131)))</f>
        <v>Smart Washing Machine</v>
      </c>
      <c r="AM32" t="str">
        <f t="shared" ca="1" si="32"/>
        <v>Wi-Fi-enabled washer with remote control options</v>
      </c>
      <c r="AN32" t="str" cm="1">
        <f t="array" aca="1" ref="AN32" ca="1">INDEX($D$2:$D$101,RANDBETWEEN(1,ROWS(AN33:AN131)))</f>
        <v>Portable Car Heater</v>
      </c>
      <c r="AO32" t="str">
        <f t="shared" ca="1" si="33"/>
        <v>12V heater for car interiors</v>
      </c>
      <c r="AP32" t="str" cm="1">
        <f t="array" aca="1" ref="AP32" ca="1">INDEX($D$2:$D$101,RANDBETWEEN(1,ROWS(AP33:AP131)))</f>
        <v>Portable Power Station</v>
      </c>
      <c r="AQ32" t="str">
        <f t="shared" ca="1" si="34"/>
        <v>Rechargeable power supply for outdoors</v>
      </c>
    </row>
    <row r="33" spans="1:43" ht="20.5" customHeight="1" x14ac:dyDescent="0.3">
      <c r="A33" s="22">
        <v>132</v>
      </c>
      <c r="B33" t="s">
        <v>349</v>
      </c>
      <c r="C33" t="s">
        <v>113</v>
      </c>
      <c r="D33" s="1" t="s">
        <v>114</v>
      </c>
      <c r="E33" s="1" t="s">
        <v>115</v>
      </c>
      <c r="F33" t="str" cm="1">
        <f t="array" aca="1" ref="F33" ca="1">INDEX($D$2:$D$101,RANDBETWEEN(1,ROWS(F34:F132)))</f>
        <v>Foldable Hair Dryer</v>
      </c>
      <c r="G33" t="str">
        <f t="shared" ca="1" si="0"/>
        <v>Compact, travel-friendly hair dryer</v>
      </c>
      <c r="H33" t="str" cm="1">
        <f t="array" aca="1" ref="H33" ca="1">INDEX($D$2:$D$101,RANDBETWEEN(1,ROWS(H34:H132)))</f>
        <v>Electric Water Boiler</v>
      </c>
      <c r="I33" t="str">
        <f t="shared" ca="1" si="18"/>
        <v>Quickly boils large volumes of water</v>
      </c>
      <c r="J33" t="str" cm="1">
        <f t="array" aca="1" ref="J33" ca="1">INDEX($D$2:$D$101,RANDBETWEEN(1,ROWS(J34:J132)))</f>
        <v>Waffle Maker</v>
      </c>
      <c r="K33" t="str">
        <f t="shared" ca="1" si="19"/>
        <v>Makes waffles at home</v>
      </c>
      <c r="L33" t="str" cm="1">
        <f t="array" aca="1" ref="L33" ca="1">INDEX($D$2:$D$101,RANDBETWEEN(1,ROWS(L34:L132)))</f>
        <v>Car Air Purifier</v>
      </c>
      <c r="M33" t="str">
        <f t="shared" ca="1" si="20"/>
        <v>Filters air inside vehicles</v>
      </c>
      <c r="N33" t="str" cm="1">
        <f t="array" aca="1" ref="N33" ca="1">INDEX($D$2:$D$101,RANDBETWEEN(1,ROWS(N34:N132)))</f>
        <v>USB-C Docking Station</v>
      </c>
      <c r="O33" t="str">
        <f t="shared" ca="1" si="21"/>
        <v>Expands ports for laptops</v>
      </c>
      <c r="P33" t="str" cm="1">
        <f t="array" aca="1" ref="P33" ca="1">INDEX($D$2:$D$101,RANDBETWEEN(1,ROWS(P34:P132)))</f>
        <v>Subwoofer</v>
      </c>
      <c r="Q33" t="str">
        <f t="shared" ca="1" si="22"/>
        <v>Deep bass audio speaker</v>
      </c>
      <c r="R33" t="str" cm="1">
        <f t="array" aca="1" ref="R33" ca="1">INDEX($D$2:$D$101,RANDBETWEEN(1,ROWS(R34:R132)))</f>
        <v>UV Sterilizer Box</v>
      </c>
      <c r="S33" t="str">
        <f t="shared" ca="1" si="23"/>
        <v>Disinfects small items using UV light</v>
      </c>
      <c r="T33" t="str" cm="1">
        <f t="array" aca="1" ref="T33" ca="1">INDEX($D$2:$D$101,RANDBETWEEN(1,ROWS(T34:T132)))</f>
        <v>Ultrasonic Humidifier</v>
      </c>
      <c r="U33" t="str">
        <f t="shared" ca="1" si="24"/>
        <v>Mist-based humidifier using ultrasonic vibrations</v>
      </c>
      <c r="V33" t="str" cm="1">
        <f t="array" aca="1" ref="V33" ca="1">INDEX($D$2:$D$101,RANDBETWEEN(1,ROWS(V34:V132)))</f>
        <v>Mini Fridge</v>
      </c>
      <c r="W33" t="str">
        <f t="shared" ca="1" si="25"/>
        <v>Compact refrigerator for beverages</v>
      </c>
      <c r="X33" t="str" cm="1">
        <f t="array" aca="1" ref="X33" ca="1">INDEX($D$2:$D$101,RANDBETWEEN(1,ROWS(X34:X132)))</f>
        <v>Mesh Wi-Fi System</v>
      </c>
      <c r="Y33" t="str">
        <f t="shared" ca="1" si="26"/>
        <v>Whole-home wireless coverage</v>
      </c>
      <c r="Z33" t="str" cm="1">
        <f t="array" aca="1" ref="Z33" ca="1">INDEX($D$2:$D$101,RANDBETWEEN(1,ROWS(Z34:Z132)))</f>
        <v>Hair Removal Epilator</v>
      </c>
      <c r="AA33" t="str">
        <f t="shared" ca="1" si="27"/>
        <v>Plucks hair from root electrically</v>
      </c>
      <c r="AB33" t="str" cm="1">
        <f t="array" aca="1" ref="AB33" ca="1">INDEX($D$2:$D$101,RANDBETWEEN(1,ROWS(AB34:AB132)))</f>
        <v>Ice Maker</v>
      </c>
      <c r="AC33" t="str">
        <f t="shared" ca="1" si="28"/>
        <v>Machine that produces ice cubes automatically</v>
      </c>
      <c r="AD33" t="str" cm="1">
        <f t="array" aca="1" ref="AD33" ca="1">INDEX($D$2:$D$101,RANDBETWEEN(1,ROWS(AD34:AD132)))</f>
        <v>Air Humidifier with Light</v>
      </c>
      <c r="AE33" t="str">
        <f t="shared" ca="1" si="29"/>
        <v>Adds moisture and includes night light feature</v>
      </c>
      <c r="AF33" t="str" cm="1">
        <f t="array" aca="1" ref="AF33" ca="1">INDEX($D$2:$D$101,RANDBETWEEN(1,ROWS(AF34:AF132)))</f>
        <v>Foldable Hair Dryer</v>
      </c>
      <c r="AG33" t="str">
        <f t="shared" ca="1" si="30"/>
        <v>Compact, travel-friendly hair dryer</v>
      </c>
      <c r="AH33" t="str" cm="1">
        <f t="array" aca="1" ref="AH33" ca="1">INDEX($D$2:$D$101,RANDBETWEEN(1,ROWS(AH34:AH132)))</f>
        <v>Ultrasonic Skin Cleaner</v>
      </c>
      <c r="AI33" t="str">
        <f t="shared" ca="1" si="31"/>
        <v>Deep cleans skin using ultrasonic waves</v>
      </c>
      <c r="AJ33" t="str" cm="1">
        <f t="array" aca="1" ref="AJ33" ca="1">INDEX($D$2:$D$101,RANDBETWEEN(1,ROWS(AJ34:AJ132)))</f>
        <v>Smart Alarm Clock</v>
      </c>
      <c r="AK33" t="str">
        <f t="shared" ca="1" si="14"/>
        <v>Alarm with smart features like weather, music, and lights</v>
      </c>
      <c r="AL33" t="str" cm="1">
        <f t="array" aca="1" ref="AL33" ca="1">INDEX($D$2:$D$101,RANDBETWEEN(1,ROWS(AL34:AL132)))</f>
        <v>Magnetic Charging Cable</v>
      </c>
      <c r="AM33" t="str">
        <f t="shared" ca="1" si="32"/>
        <v>Detachable magnetic USB cable</v>
      </c>
      <c r="AN33" t="str" cm="1">
        <f t="array" aca="1" ref="AN33" ca="1">INDEX($D$2:$D$101,RANDBETWEEN(1,ROWS(AN34:AN132)))</f>
        <v>Electric Egg Beater</v>
      </c>
      <c r="AO33" t="str">
        <f t="shared" ca="1" si="33"/>
        <v>Handheld electric whisk for baking</v>
      </c>
      <c r="AP33" t="str" cm="1">
        <f t="array" aca="1" ref="AP33" ca="1">INDEX($D$2:$D$101,RANDBETWEEN(1,ROWS(AP34:AP132)))</f>
        <v>Portable Power Station</v>
      </c>
      <c r="AQ33" t="str">
        <f t="shared" ca="1" si="34"/>
        <v>Rechargeable power supply for outdoors</v>
      </c>
    </row>
    <row r="34" spans="1:43" ht="20.5" customHeight="1" x14ac:dyDescent="0.3">
      <c r="A34" s="22">
        <v>133</v>
      </c>
      <c r="B34" t="s">
        <v>350</v>
      </c>
      <c r="C34" t="s">
        <v>116</v>
      </c>
      <c r="D34" s="1" t="s">
        <v>117</v>
      </c>
      <c r="E34" s="1" t="s">
        <v>118</v>
      </c>
      <c r="F34" t="str" cm="1">
        <f t="array" aca="1" ref="F34" ca="1">INDEX($D$2:$D$101,RANDBETWEEN(1,ROWS(F35:F133)))</f>
        <v>Roti Maker</v>
      </c>
      <c r="G34" t="str">
        <f t="shared" ca="1" si="0"/>
        <v>Flattens and cooks Indian flatbreads</v>
      </c>
      <c r="H34" t="str" cm="1">
        <f t="array" aca="1" ref="H34" ca="1">INDEX($D$2:$D$101,RANDBETWEEN(1,ROWS(H35:H133)))</f>
        <v>Pancake Maker</v>
      </c>
      <c r="I34" t="str">
        <f t="shared" ca="1" si="18"/>
        <v>Easy tool for making pancakes</v>
      </c>
      <c r="J34" t="str" cm="1">
        <f t="array" aca="1" ref="J34" ca="1">INDEX($D$2:$D$101,RANDBETWEEN(1,ROWS(J35:J133)))</f>
        <v>Magnetic Charging Cable</v>
      </c>
      <c r="K34" t="str">
        <f t="shared" ca="1" si="19"/>
        <v>Detachable magnetic USB cable</v>
      </c>
      <c r="L34" t="str" cm="1">
        <f t="array" aca="1" ref="L34" ca="1">INDEX($D$2:$D$101,RANDBETWEEN(1,ROWS(L35:L133)))</f>
        <v>Emergency Solar Light</v>
      </c>
      <c r="M34" t="str">
        <f t="shared" ca="1" si="20"/>
        <v>Solar-powered backup light</v>
      </c>
      <c r="N34" t="str" cm="1">
        <f t="array" aca="1" ref="N34" ca="1">INDEX($D$2:$D$101,RANDBETWEEN(1,ROWS(N35:N133)))</f>
        <v>Egg Boiler</v>
      </c>
      <c r="O34" t="str">
        <f t="shared" ca="1" si="21"/>
        <v>Automatically boils eggs</v>
      </c>
      <c r="P34" t="str" cm="1">
        <f t="array" aca="1" ref="P34" ca="1">INDEX($D$2:$D$101,RANDBETWEEN(1,ROWS(P35:P133)))</f>
        <v>Smart Microwave</v>
      </c>
      <c r="Q34" t="str">
        <f t="shared" ca="1" si="22"/>
        <v>Microwave with voice or app control</v>
      </c>
      <c r="R34" t="str" cm="1">
        <f t="array" aca="1" ref="R34" ca="1">INDEX($D$2:$D$101,RANDBETWEEN(1,ROWS(R35:R133)))</f>
        <v>Ultrasonic Humidifier</v>
      </c>
      <c r="S34" t="str">
        <f t="shared" ca="1" si="23"/>
        <v>Mist-based humidifier using ultrasonic vibrations</v>
      </c>
      <c r="T34" t="str" cm="1">
        <f t="array" aca="1" ref="T34" ca="1">INDEX($D$2:$D$101,RANDBETWEEN(1,ROWS(T35:T133)))</f>
        <v>Smart Car Charger</v>
      </c>
      <c r="U34" t="str">
        <f t="shared" ca="1" si="24"/>
        <v>USB charger with smart protection features</v>
      </c>
      <c r="V34" t="str" cm="1">
        <f t="array" aca="1" ref="V34" ca="1">INDEX($D$2:$D$101,RANDBETWEEN(1,ROWS(V35:V133)))</f>
        <v>UV Toothbrush Sterilizer</v>
      </c>
      <c r="W34" t="str">
        <f t="shared" ca="1" si="25"/>
        <v>Disinfects toothbrush using UV light</v>
      </c>
      <c r="X34" t="str" cm="1">
        <f t="array" aca="1" ref="X34" ca="1">INDEX($D$2:$D$101,RANDBETWEEN(1,ROWS(X35:X133)))</f>
        <v>Smart Toothbrush</v>
      </c>
      <c r="Y34" t="str">
        <f t="shared" ca="1" si="26"/>
        <v>Electric brush with Bluetooth tracking</v>
      </c>
      <c r="Z34" t="str" cm="1">
        <f t="array" aca="1" ref="Z34" ca="1">INDEX($D$2:$D$101,RANDBETWEEN(1,ROWS(Z35:Z133)))</f>
        <v>Crepe Maker</v>
      </c>
      <c r="AA34" t="str">
        <f t="shared" ca="1" si="27"/>
        <v>Electric pan for making crepes</v>
      </c>
      <c r="AB34" t="str" cm="1">
        <f t="array" aca="1" ref="AB34" ca="1">INDEX($D$2:$D$101,RANDBETWEEN(1,ROWS(AB35:AB133)))</f>
        <v>Electric Egg Beater</v>
      </c>
      <c r="AC34" t="str">
        <f t="shared" ca="1" si="28"/>
        <v>Handheld electric whisk for baking</v>
      </c>
      <c r="AD34" t="str" cm="1">
        <f t="array" aca="1" ref="AD34" ca="1">INDEX($D$2:$D$101,RANDBETWEEN(1,ROWS(AD35:AD133)))</f>
        <v>Smart Mosquito Repeller</v>
      </c>
      <c r="AE34" t="str">
        <f t="shared" ca="1" si="29"/>
        <v>USB-powered electronic insect repeller</v>
      </c>
      <c r="AF34" t="str" cm="1">
        <f t="array" aca="1" ref="AF34" ca="1">INDEX($D$2:$D$101,RANDBETWEEN(1,ROWS(AF35:AF133)))</f>
        <v>Plug-in Night Light</v>
      </c>
      <c r="AG34" t="str">
        <f t="shared" ca="1" si="30"/>
        <v>Low-power night light for rooms</v>
      </c>
      <c r="AH34" t="str" cm="1">
        <f t="array" aca="1" ref="AH34" ca="1">INDEX($D$2:$D$101,RANDBETWEEN(1,ROWS(AH35:AH133)))</f>
        <v>Ultrasonic Skin Cleaner</v>
      </c>
      <c r="AI34" t="str">
        <f t="shared" ca="1" si="31"/>
        <v>Deep cleans skin using ultrasonic waves</v>
      </c>
      <c r="AJ34" t="str" cm="1">
        <f t="array" aca="1" ref="AJ34" ca="1">INDEX($D$2:$D$101,RANDBETWEEN(1,ROWS(AJ35:AJ133)))</f>
        <v>Smart Switch</v>
      </c>
      <c r="AK34" t="str">
        <f t="shared" ref="AK34:AK97" ca="1" si="35">VLOOKUP(AJ34,oo,2,0)</f>
        <v>Wi-Fi-enabled wall switch for remote operation</v>
      </c>
      <c r="AL34" t="str" cm="1">
        <f t="array" aca="1" ref="AL34" ca="1">INDEX($D$2:$D$101,RANDBETWEEN(1,ROWS(AL35:AL133)))</f>
        <v>Inverter AC</v>
      </c>
      <c r="AM34" t="str">
        <f t="shared" ca="1" si="32"/>
        <v>Energy-efficient air conditioner</v>
      </c>
      <c r="AN34" t="str" cm="1">
        <f t="array" aca="1" ref="AN34" ca="1">INDEX($D$2:$D$101,RANDBETWEEN(1,ROWS(AN35:AN133)))</f>
        <v>Rechargeable Torch</v>
      </c>
      <c r="AO34" t="str">
        <f t="shared" ca="1" si="33"/>
        <v>Flashlight that can be recharged</v>
      </c>
      <c r="AP34" t="str" cm="1">
        <f t="array" aca="1" ref="AP34" ca="1">INDEX($D$2:$D$101,RANDBETWEEN(1,ROWS(AP35:AP133)))</f>
        <v>Smart Ceiling Light</v>
      </c>
      <c r="AQ34" t="str">
        <f t="shared" ca="1" si="34"/>
        <v>Wi-Fi-enabled, color-changing ceiling light</v>
      </c>
    </row>
    <row r="35" spans="1:43" ht="20.5" customHeight="1" x14ac:dyDescent="0.3">
      <c r="A35" s="22">
        <v>134</v>
      </c>
      <c r="B35" t="s">
        <v>351</v>
      </c>
      <c r="C35" t="s">
        <v>119</v>
      </c>
      <c r="D35" s="1" t="s">
        <v>120</v>
      </c>
      <c r="E35" s="1" t="s">
        <v>121</v>
      </c>
      <c r="F35" t="str" cm="1">
        <f t="array" aca="1" ref="F35" ca="1">INDEX($D$2:$D$101,RANDBETWEEN(1,ROWS(F36:F134)))</f>
        <v>Ultrasonic Humidifier</v>
      </c>
      <c r="G35" t="str">
        <f t="shared" ca="1" si="0"/>
        <v>Mist-based humidifier using ultrasonic vibrations</v>
      </c>
      <c r="H35" t="str" cm="1">
        <f t="array" aca="1" ref="H35" ca="1">INDEX($D$2:$D$101,RANDBETWEEN(1,ROWS(H36:H134)))</f>
        <v>Meat Grinder</v>
      </c>
      <c r="I35" t="str">
        <f t="shared" ca="1" si="18"/>
        <v>Grinds meat for home cooking</v>
      </c>
      <c r="J35" t="str" cm="1">
        <f t="array" aca="1" ref="J35" ca="1">INDEX($D$2:$D$101,RANDBETWEEN(1,ROWS(J36:J134)))</f>
        <v>Yogurt Maker</v>
      </c>
      <c r="K35" t="str">
        <f t="shared" ca="1" si="19"/>
        <v>Home appliance for making yogurt</v>
      </c>
      <c r="L35" t="str" cm="1">
        <f t="array" aca="1" ref="L35" ca="1">INDEX($D$2:$D$101,RANDBETWEEN(1,ROWS(L36:L134)))</f>
        <v>Electric Water Boiler</v>
      </c>
      <c r="M35" t="str">
        <f t="shared" ca="1" si="20"/>
        <v>Quickly boils large volumes of water</v>
      </c>
      <c r="N35" t="str" cm="1">
        <f t="array" aca="1" ref="N35" ca="1">INDEX($D$2:$D$101,RANDBETWEEN(1,ROWS(N36:N134)))</f>
        <v>Smart Air Conditioner</v>
      </c>
      <c r="O35" t="str">
        <f t="shared" ca="1" si="21"/>
        <v>AC unit controllable via smartphone or voice</v>
      </c>
      <c r="P35" t="str" cm="1">
        <f t="array" aca="1" ref="P35" ca="1">INDEX($D$2:$D$101,RANDBETWEEN(1,ROWS(P36:P134)))</f>
        <v>Plug-in Night Light</v>
      </c>
      <c r="Q35" t="str">
        <f t="shared" ca="1" si="22"/>
        <v>Low-power night light for rooms</v>
      </c>
      <c r="R35" t="str" cm="1">
        <f t="array" aca="1" ref="R35" ca="1">INDEX($D$2:$D$101,RANDBETWEEN(1,ROWS(R36:R134)))</f>
        <v>DisplayPort Cable</v>
      </c>
      <c r="S35" t="str">
        <f t="shared" ca="1" si="23"/>
        <v>High-resolution monitor cable</v>
      </c>
      <c r="T35" t="str" cm="1">
        <f t="array" aca="1" ref="T35" ca="1">INDEX($D$2:$D$101,RANDBETWEEN(1,ROWS(T36:T134)))</f>
        <v>Kitchen Weighing Scale</v>
      </c>
      <c r="U35" t="str">
        <f t="shared" ca="1" si="24"/>
        <v>Measures food portions accurately</v>
      </c>
      <c r="V35" t="str" cm="1">
        <f t="array" aca="1" ref="V35" ca="1">INDEX($D$2:$D$101,RANDBETWEEN(1,ROWS(V36:V134)))</f>
        <v>Mini Bluetooth Receiver</v>
      </c>
      <c r="W35" t="str">
        <f t="shared" ca="1" si="25"/>
        <v>Adds Bluetooth to non-Bluetooth devices</v>
      </c>
      <c r="X35" t="str" cm="1">
        <f t="array" aca="1" ref="X35" ca="1">INDEX($D$2:$D$101,RANDBETWEEN(1,ROWS(X36:X134)))</f>
        <v>Personal Neck Fan</v>
      </c>
      <c r="Y35" t="str">
        <f t="shared" ca="1" si="26"/>
        <v>Wearable fan for hands-free cooling</v>
      </c>
      <c r="Z35" t="str" cm="1">
        <f t="array" aca="1" ref="Z35" ca="1">INDEX($D$2:$D$101,RANDBETWEEN(1,ROWS(Z36:Z134)))</f>
        <v>Facial Steamer</v>
      </c>
      <c r="AA35" t="str">
        <f t="shared" ca="1" si="27"/>
        <v>Opens pores for skincare routine</v>
      </c>
      <c r="AB35" t="str" cm="1">
        <f t="array" aca="1" ref="AB35" ca="1">INDEX($D$2:$D$101,RANDBETWEEN(1,ROWS(AB36:AB134)))</f>
        <v>Rechargeable Torch</v>
      </c>
      <c r="AC35" t="str">
        <f t="shared" ca="1" si="28"/>
        <v>Flashlight that can be recharged</v>
      </c>
      <c r="AD35" t="str" cm="1">
        <f t="array" aca="1" ref="AD35" ca="1">INDEX($D$2:$D$101,RANDBETWEEN(1,ROWS(AD36:AD134)))</f>
        <v>Electric Water Boiler</v>
      </c>
      <c r="AE35" t="str">
        <f t="shared" ca="1" si="29"/>
        <v>Quickly boils large volumes of water</v>
      </c>
      <c r="AF35" t="str" cm="1">
        <f t="array" aca="1" ref="AF35" ca="1">INDEX($D$2:$D$101,RANDBETWEEN(1,ROWS(AF36:AF134)))</f>
        <v>Air Humidifier with Light</v>
      </c>
      <c r="AG35" t="str">
        <f t="shared" ca="1" si="30"/>
        <v>Adds moisture and includes night light feature</v>
      </c>
      <c r="AH35" t="str" cm="1">
        <f t="array" aca="1" ref="AH35" ca="1">INDEX($D$2:$D$101,RANDBETWEEN(1,ROWS(AH36:AH134)))</f>
        <v>HDMI Cable</v>
      </c>
      <c r="AI35" t="str">
        <f t="shared" ca="1" si="31"/>
        <v>Transfers audio/video signals</v>
      </c>
      <c r="AJ35" t="str" cm="1">
        <f t="array" aca="1" ref="AJ35" ca="1">INDEX($D$2:$D$101,RANDBETWEEN(1,ROWS(AJ36:AJ134)))</f>
        <v>TV Wall Mount</v>
      </c>
      <c r="AK35" t="str">
        <f t="shared" ca="1" si="35"/>
        <v>Mounting bracket for flat TVs</v>
      </c>
      <c r="AL35" t="str" cm="1">
        <f t="array" aca="1" ref="AL35" ca="1">INDEX($D$2:$D$101,RANDBETWEEN(1,ROWS(AL36:AL134)))</f>
        <v>Meat Grinder</v>
      </c>
      <c r="AM35" t="str">
        <f t="shared" ca="1" si="32"/>
        <v>Grinds meat for home cooking</v>
      </c>
      <c r="AN35" t="str" cm="1">
        <f t="array" aca="1" ref="AN35" ca="1">INDEX($D$2:$D$101,RANDBETWEEN(1,ROWS(AN36:AN134)))</f>
        <v>Digital Multimeter</v>
      </c>
      <c r="AO35" t="str">
        <f t="shared" ca="1" si="33"/>
        <v>Measures voltage, current, resistance</v>
      </c>
      <c r="AP35" t="str" cm="1">
        <f t="array" aca="1" ref="AP35" ca="1">INDEX($D$2:$D$101,RANDBETWEEN(1,ROWS(AP36:AP134)))</f>
        <v>UV Toothbrush Sterilizer</v>
      </c>
      <c r="AQ35" t="str">
        <f t="shared" ca="1" si="34"/>
        <v>Disinfects toothbrush using UV light</v>
      </c>
    </row>
    <row r="36" spans="1:43" ht="20.5" customHeight="1" x14ac:dyDescent="0.3">
      <c r="A36" s="22">
        <v>135</v>
      </c>
      <c r="B36" t="s">
        <v>352</v>
      </c>
      <c r="C36" t="s">
        <v>122</v>
      </c>
      <c r="D36" s="1" t="s">
        <v>123</v>
      </c>
      <c r="E36" s="1" t="s">
        <v>124</v>
      </c>
      <c r="F36" t="str" cm="1">
        <f t="array" aca="1" ref="F36" ca="1">INDEX($D$2:$D$101,RANDBETWEEN(1,ROWS(F37:F135)))</f>
        <v>Hair Removal Epilator</v>
      </c>
      <c r="G36" t="str">
        <f t="shared" ca="1" si="0"/>
        <v>Plucks hair from root electrically</v>
      </c>
      <c r="H36" t="str" cm="1">
        <f t="array" aca="1" ref="H36" ca="1">INDEX($D$2:$D$101,RANDBETWEEN(1,ROWS(H37:H135)))</f>
        <v>Air Humidifier with Light</v>
      </c>
      <c r="I36" t="str">
        <f t="shared" ca="1" si="18"/>
        <v>Adds moisture and includes night light feature</v>
      </c>
      <c r="J36" t="str" cm="1">
        <f t="array" aca="1" ref="J36" ca="1">INDEX($D$2:$D$101,RANDBETWEEN(1,ROWS(J37:J135)))</f>
        <v>Car Subwoofer</v>
      </c>
      <c r="K36" t="str">
        <f t="shared" ca="1" si="19"/>
        <v>Audio upgrade for car music systems</v>
      </c>
      <c r="L36" t="str" cm="1">
        <f t="array" aca="1" ref="L36" ca="1">INDEX($D$2:$D$101,RANDBETWEEN(1,ROWS(L37:L135)))</f>
        <v>IPL Hair Removal Device</v>
      </c>
      <c r="M36" t="str">
        <f t="shared" ca="1" si="20"/>
        <v>At-home laser hair removal system</v>
      </c>
      <c r="N36" t="str" cm="1">
        <f t="array" aca="1" ref="N36" ca="1">INDEX($D$2:$D$101,RANDBETWEEN(1,ROWS(N37:N135)))</f>
        <v>Ceiling Light with Fan</v>
      </c>
      <c r="O36" t="str">
        <f t="shared" ca="1" si="21"/>
        <v>Dual-function decorative ceiling light with built-in fan</v>
      </c>
      <c r="P36" t="str" cm="1">
        <f t="array" aca="1" ref="P36" ca="1">INDEX($D$2:$D$101,RANDBETWEEN(1,ROWS(P37:P135)))</f>
        <v>Smart Geyser</v>
      </c>
      <c r="Q36" t="str">
        <f t="shared" ca="1" si="22"/>
        <v>Internet-connected water heater</v>
      </c>
      <c r="R36" t="str" cm="1">
        <f t="array" aca="1" ref="R36" ca="1">INDEX($D$2:$D$101,RANDBETWEEN(1,ROWS(R37:R135)))</f>
        <v>Kitchen Weighing Scale</v>
      </c>
      <c r="S36" t="str">
        <f t="shared" ca="1" si="23"/>
        <v>Measures food portions accurately</v>
      </c>
      <c r="T36" t="str" cm="1">
        <f t="array" aca="1" ref="T36" ca="1">INDEX($D$2:$D$101,RANDBETWEEN(1,ROWS(T37:T135)))</f>
        <v>Bread Maker</v>
      </c>
      <c r="U36" t="str">
        <f t="shared" ca="1" si="24"/>
        <v>Automatically bakes fresh bread</v>
      </c>
      <c r="V36" t="str" cm="1">
        <f t="array" aca="1" ref="V36" ca="1">INDEX($D$2:$D$101,RANDBETWEEN(1,ROWS(V37:V135)))</f>
        <v>Rechargeable Torch</v>
      </c>
      <c r="W36" t="str">
        <f t="shared" ca="1" si="25"/>
        <v>Flashlight that can be recharged</v>
      </c>
      <c r="X36" t="str" cm="1">
        <f t="array" aca="1" ref="X36" ca="1">INDEX($D$2:$D$101,RANDBETWEEN(1,ROWS(X37:X135)))</f>
        <v>Magnetic Charging Cable</v>
      </c>
      <c r="Y36" t="str">
        <f t="shared" ca="1" si="26"/>
        <v>Detachable magnetic USB cable</v>
      </c>
      <c r="Z36" t="str" cm="1">
        <f t="array" aca="1" ref="Z36" ca="1">INDEX($D$2:$D$101,RANDBETWEEN(1,ROWS(Z37:Z135)))</f>
        <v>Portable Air Conditioner</v>
      </c>
      <c r="AA36" t="str">
        <f t="shared" ca="1" si="27"/>
        <v>Compact AC unit for small spaces</v>
      </c>
      <c r="AB36" t="str" cm="1">
        <f t="array" aca="1" ref="AB36" ca="1">INDEX($D$2:$D$101,RANDBETWEEN(1,ROWS(AB37:AB135)))</f>
        <v>Cold Press Juicer</v>
      </c>
      <c r="AC36" t="str">
        <f t="shared" ca="1" si="28"/>
        <v>Slow juicer for better nutrient retention</v>
      </c>
      <c r="AD36" t="str" cm="1">
        <f t="array" aca="1" ref="AD36" ca="1">INDEX($D$2:$D$101,RANDBETWEEN(1,ROWS(AD37:AD135)))</f>
        <v>USB-C Docking Station</v>
      </c>
      <c r="AE36" t="str">
        <f t="shared" ca="1" si="29"/>
        <v>Expands ports for laptops</v>
      </c>
      <c r="AF36" t="str" cm="1">
        <f t="array" aca="1" ref="AF36" ca="1">INDEX($D$2:$D$101,RANDBETWEEN(1,ROWS(AF37:AF135)))</f>
        <v>Wall-Mounted Fan</v>
      </c>
      <c r="AG36" t="str">
        <f t="shared" ca="1" si="30"/>
        <v>Space-saving fan for wall mounting</v>
      </c>
      <c r="AH36" t="str" cm="1">
        <f t="array" aca="1" ref="AH36" ca="1">INDEX($D$2:$D$101,RANDBETWEEN(1,ROWS(AH37:AH135)))</f>
        <v>Indoor Thermometer</v>
      </c>
      <c r="AI36" t="str">
        <f t="shared" ca="1" si="31"/>
        <v>Displays indoor temperature</v>
      </c>
      <c r="AJ36" t="str" cm="1">
        <f t="array" aca="1" ref="AJ36" ca="1">INDEX($D$2:$D$101,RANDBETWEEN(1,ROWS(AJ37:AJ135)))</f>
        <v>Cord Organizer Box</v>
      </c>
      <c r="AK36" t="str">
        <f t="shared" ca="1" si="35"/>
        <v>Box to hide and manage power strips</v>
      </c>
      <c r="AL36" t="str" cm="1">
        <f t="array" aca="1" ref="AL36" ca="1">INDEX($D$2:$D$101,RANDBETWEEN(1,ROWS(AL37:AL135)))</f>
        <v>Espresso Machine</v>
      </c>
      <c r="AM36" t="str">
        <f t="shared" ca="1" si="32"/>
        <v>Makes espresso coffee drinks</v>
      </c>
      <c r="AN36" t="str" cm="1">
        <f t="array" aca="1" ref="AN36" ca="1">INDEX($D$2:$D$101,RANDBETWEEN(1,ROWS(AN37:AN135)))</f>
        <v>TV Wall Mount</v>
      </c>
      <c r="AO36" t="str">
        <f t="shared" ca="1" si="33"/>
        <v>Mounting bracket for flat TVs</v>
      </c>
      <c r="AP36" t="str" cm="1">
        <f t="array" aca="1" ref="AP36" ca="1">INDEX($D$2:$D$101,RANDBETWEEN(1,ROWS(AP37:AP135)))</f>
        <v>Kitchen Timer</v>
      </c>
      <c r="AQ36" t="str">
        <f t="shared" ca="1" si="34"/>
        <v>Digital countdown timer for cooking</v>
      </c>
    </row>
    <row r="37" spans="1:43" ht="20.5" customHeight="1" x14ac:dyDescent="0.3">
      <c r="A37" s="22">
        <v>136</v>
      </c>
      <c r="B37" t="s">
        <v>353</v>
      </c>
      <c r="C37" t="s">
        <v>125</v>
      </c>
      <c r="D37" s="1" t="s">
        <v>126</v>
      </c>
      <c r="E37" s="1" t="s">
        <v>127</v>
      </c>
      <c r="F37" t="str" cm="1">
        <f t="array" aca="1" ref="F37" ca="1">INDEX($D$2:$D$101,RANDBETWEEN(1,ROWS(F38:F136)))</f>
        <v>Electric Water Boiler</v>
      </c>
      <c r="G37" t="str">
        <f t="shared" ca="1" si="0"/>
        <v>Quickly boils large volumes of water</v>
      </c>
      <c r="H37" t="str" cm="1">
        <f t="array" aca="1" ref="H37" ca="1">INDEX($D$2:$D$101,RANDBETWEEN(1,ROWS(H38:H136)))</f>
        <v>Smart Rearview Mirror</v>
      </c>
      <c r="I37" t="str">
        <f t="shared" ca="1" si="18"/>
        <v>Touchscreen mirror with GPS and camera</v>
      </c>
      <c r="J37" t="str" cm="1">
        <f t="array" aca="1" ref="J37" ca="1">INDEX($D$2:$D$101,RANDBETWEEN(1,ROWS(J38:J136)))</f>
        <v>Kitchen Timer</v>
      </c>
      <c r="K37" t="str">
        <f t="shared" ca="1" si="19"/>
        <v>Digital countdown timer for cooking</v>
      </c>
      <c r="L37" t="str" cm="1">
        <f t="array" aca="1" ref="L37" ca="1">INDEX($D$2:$D$101,RANDBETWEEN(1,ROWS(L38:L136)))</f>
        <v>Wall-Mounted Fan</v>
      </c>
      <c r="M37" t="str">
        <f t="shared" ca="1" si="20"/>
        <v>Space-saving fan for wall mounting</v>
      </c>
      <c r="N37" t="str" cm="1">
        <f t="array" aca="1" ref="N37" ca="1">INDEX($D$2:$D$101,RANDBETWEEN(1,ROWS(N38:N136)))</f>
        <v>Laptop Stand</v>
      </c>
      <c r="O37" t="str">
        <f t="shared" ca="1" si="21"/>
        <v>Raises laptop for ergonomic use</v>
      </c>
      <c r="P37" t="str" cm="1">
        <f t="array" aca="1" ref="P37" ca="1">INDEX($D$2:$D$101,RANDBETWEEN(1,ROWS(P38:P136)))</f>
        <v>Portable Power Station</v>
      </c>
      <c r="Q37" t="str">
        <f t="shared" ca="1" si="22"/>
        <v>Rechargeable power supply for outdoors</v>
      </c>
      <c r="R37" t="str" cm="1">
        <f t="array" aca="1" ref="R37" ca="1">INDEX($D$2:$D$101,RANDBETWEEN(1,ROWS(R38:R136)))</f>
        <v>Smart Weighing Scale</v>
      </c>
      <c r="S37" t="str">
        <f t="shared" ca="1" si="23"/>
        <v>Body scale with app sync and health data</v>
      </c>
      <c r="T37" t="str" cm="1">
        <f t="array" aca="1" ref="T37" ca="1">INDEX($D$2:$D$101,RANDBETWEEN(1,ROWS(T38:T136)))</f>
        <v>Bluetooth Alarm Clock</v>
      </c>
      <c r="U37" t="str">
        <f t="shared" ca="1" si="24"/>
        <v>Combines alarm with Bluetooth speaker</v>
      </c>
      <c r="V37" t="str" cm="1">
        <f t="array" aca="1" ref="V37" ca="1">INDEX($D$2:$D$101,RANDBETWEEN(1,ROWS(V38:V136)))</f>
        <v>Ice Maker</v>
      </c>
      <c r="W37" t="str">
        <f t="shared" ca="1" si="25"/>
        <v>Machine that produces ice cubes automatically</v>
      </c>
      <c r="X37" t="str" cm="1">
        <f t="array" aca="1" ref="X37" ca="1">INDEX($D$2:$D$101,RANDBETWEEN(1,ROWS(X38:X136)))</f>
        <v>Electric Chopper</v>
      </c>
      <c r="Y37" t="str">
        <f t="shared" ca="1" si="26"/>
        <v>Chops vegetables and fruits quickly</v>
      </c>
      <c r="Z37" t="str" cm="1">
        <f t="array" aca="1" ref="Z37" ca="1">INDEX($D$2:$D$101,RANDBETWEEN(1,ROWS(Z38:Z136)))</f>
        <v>Portable Air Conditioner</v>
      </c>
      <c r="AA37" t="str">
        <f t="shared" ca="1" si="27"/>
        <v>Compact AC unit for small spaces</v>
      </c>
      <c r="AB37" t="str" cm="1">
        <f t="array" aca="1" ref="AB37" ca="1">INDEX($D$2:$D$101,RANDBETWEEN(1,ROWS(AB38:AB136)))</f>
        <v>Meat Grinder</v>
      </c>
      <c r="AC37" t="str">
        <f t="shared" ca="1" si="28"/>
        <v>Grinds meat for home cooking</v>
      </c>
      <c r="AD37" t="str" cm="1">
        <f t="array" aca="1" ref="AD37" ca="1">INDEX($D$2:$D$101,RANDBETWEEN(1,ROWS(AD38:AD136)))</f>
        <v>Waffle Maker</v>
      </c>
      <c r="AE37" t="str">
        <f t="shared" ca="1" si="29"/>
        <v>Makes waffles at home</v>
      </c>
      <c r="AF37" t="str" cm="1">
        <f t="array" aca="1" ref="AF37" ca="1">INDEX($D$2:$D$101,RANDBETWEEN(1,ROWS(AF38:AF136)))</f>
        <v>Chimney Hood</v>
      </c>
      <c r="AG37" t="str">
        <f t="shared" ca="1" si="30"/>
        <v>Kitchen exhaust for smoke and fumes</v>
      </c>
      <c r="AH37" t="str" cm="1">
        <f t="array" aca="1" ref="AH37" ca="1">INDEX($D$2:$D$101,RANDBETWEEN(1,ROWS(AH38:AH136)))</f>
        <v>Air Cooler</v>
      </c>
      <c r="AI37" t="str">
        <f t="shared" ca="1" si="31"/>
        <v>Evaporative cooling appliance for rooms</v>
      </c>
      <c r="AJ37" t="str" cm="1">
        <f t="array" aca="1" ref="AJ37" ca="1">INDEX($D$2:$D$101,RANDBETWEEN(1,ROWS(AJ38:AJ136)))</f>
        <v>UV Toothbrush Sterilizer</v>
      </c>
      <c r="AK37" t="str">
        <f t="shared" ca="1" si="35"/>
        <v>Disinfects toothbrush using UV light</v>
      </c>
      <c r="AL37" t="str" cm="1">
        <f t="array" aca="1" ref="AL37" ca="1">INDEX($D$2:$D$101,RANDBETWEEN(1,ROWS(AL38:AL136)))</f>
        <v>Portable Air Conditioner</v>
      </c>
      <c r="AM37" t="str">
        <f t="shared" ca="1" si="32"/>
        <v>Compact AC unit for small spaces</v>
      </c>
      <c r="AN37" t="str" cm="1">
        <f t="array" aca="1" ref="AN37" ca="1">INDEX($D$2:$D$101,RANDBETWEEN(1,ROWS(AN38:AN136)))</f>
        <v>Egg Boiler</v>
      </c>
      <c r="AO37" t="str">
        <f t="shared" ca="1" si="33"/>
        <v>Automatically boils eggs</v>
      </c>
      <c r="AP37" t="str" cm="1">
        <f t="array" aca="1" ref="AP37" ca="1">INDEX($D$2:$D$101,RANDBETWEEN(1,ROWS(AP38:AP136)))</f>
        <v>Air Cooler</v>
      </c>
      <c r="AQ37" t="str">
        <f t="shared" ca="1" si="34"/>
        <v>Evaporative cooling appliance for rooms</v>
      </c>
    </row>
    <row r="38" spans="1:43" ht="20.5" customHeight="1" x14ac:dyDescent="0.3">
      <c r="A38" s="22">
        <v>137</v>
      </c>
      <c r="B38" t="s">
        <v>354</v>
      </c>
      <c r="C38" t="s">
        <v>128</v>
      </c>
      <c r="D38" s="1" t="s">
        <v>129</v>
      </c>
      <c r="E38" s="1" t="s">
        <v>130</v>
      </c>
      <c r="F38" t="str" cm="1">
        <f t="array" aca="1" ref="F38" ca="1">INDEX($D$2:$D$101,RANDBETWEEN(1,ROWS(F39:F137)))</f>
        <v>Smart Refrigerator</v>
      </c>
      <c r="G38" t="str">
        <f t="shared" ca="1" si="0"/>
        <v>Internet-connected fridge with touchscreen and smart controls</v>
      </c>
      <c r="H38" t="str" cm="1">
        <f t="array" aca="1" ref="H38" ca="1">INDEX($D$2:$D$101,RANDBETWEEN(1,ROWS(H39:H137)))</f>
        <v>Indoor Thermometer</v>
      </c>
      <c r="I38" t="str">
        <f t="shared" ca="1" si="18"/>
        <v>Displays indoor temperature</v>
      </c>
      <c r="J38" t="str" cm="1">
        <f t="array" aca="1" ref="J38" ca="1">INDEX($D$2:$D$101,RANDBETWEEN(1,ROWS(J39:J137)))</f>
        <v>Solar Garden Light</v>
      </c>
      <c r="K38" t="str">
        <f t="shared" ca="1" si="19"/>
        <v>Solar-powered outdoor lighting</v>
      </c>
      <c r="L38" t="str" cm="1">
        <f t="array" aca="1" ref="L38" ca="1">INDEX($D$2:$D$101,RANDBETWEEN(1,ROWS(L39:L137)))</f>
        <v>Smart Air Conditioner</v>
      </c>
      <c r="M38" t="str">
        <f t="shared" ca="1" si="20"/>
        <v>AC unit controllable via smartphone or voice</v>
      </c>
      <c r="N38" t="str" cm="1">
        <f t="array" aca="1" ref="N38" ca="1">INDEX($D$2:$D$101,RANDBETWEEN(1,ROWS(N39:N137)))</f>
        <v>Tower Fan</v>
      </c>
      <c r="O38" t="str">
        <f t="shared" ca="1" si="21"/>
        <v>Space-saving vertical fan</v>
      </c>
      <c r="P38" t="str" cm="1">
        <f t="array" aca="1" ref="P38" ca="1">INDEX($D$2:$D$101,RANDBETWEEN(1,ROWS(P39:P137)))</f>
        <v>Egg Boiler</v>
      </c>
      <c r="Q38" t="str">
        <f t="shared" ca="1" si="22"/>
        <v>Automatically boils eggs</v>
      </c>
      <c r="R38" t="str" cm="1">
        <f t="array" aca="1" ref="R38" ca="1">INDEX($D$2:$D$101,RANDBETWEEN(1,ROWS(R39:R137)))</f>
        <v>Portable Induction Stove</v>
      </c>
      <c r="S38" t="str">
        <f t="shared" ca="1" si="23"/>
        <v>Lightweight induction stove for mobile cooking</v>
      </c>
      <c r="T38" t="str" cm="1">
        <f t="array" aca="1" ref="T38" ca="1">INDEX($D$2:$D$101,RANDBETWEEN(1,ROWS(T39:T137)))</f>
        <v>Electric Water Boiler</v>
      </c>
      <c r="U38" t="str">
        <f t="shared" ca="1" si="24"/>
        <v>Quickly boils large volumes of water</v>
      </c>
      <c r="V38" t="str" cm="1">
        <f t="array" aca="1" ref="V38" ca="1">INDEX($D$2:$D$101,RANDBETWEEN(1,ROWS(V39:V137)))</f>
        <v>Water Dispenser</v>
      </c>
      <c r="W38" t="str">
        <f t="shared" ca="1" si="25"/>
        <v>Dispenses hot and cold water</v>
      </c>
      <c r="X38" t="str" cm="1">
        <f t="array" aca="1" ref="X38" ca="1">INDEX($D$2:$D$101,RANDBETWEEN(1,ROWS(X39:X137)))</f>
        <v>Portable Air Conditioner</v>
      </c>
      <c r="Y38" t="str">
        <f t="shared" ca="1" si="26"/>
        <v>Compact AC unit for small spaces</v>
      </c>
      <c r="Z38" t="str" cm="1">
        <f t="array" aca="1" ref="Z38" ca="1">INDEX($D$2:$D$101,RANDBETWEEN(1,ROWS(Z39:Z137)))</f>
        <v>Car Air Purifier</v>
      </c>
      <c r="AA38" t="str">
        <f t="shared" ca="1" si="27"/>
        <v>Filters air inside vehicles</v>
      </c>
      <c r="AB38" t="str" cm="1">
        <f t="array" aca="1" ref="AB38" ca="1">INDEX($D$2:$D$101,RANDBETWEEN(1,ROWS(AB39:AB137)))</f>
        <v>Electric Egg Beater</v>
      </c>
      <c r="AC38" t="str">
        <f t="shared" ca="1" si="28"/>
        <v>Handheld electric whisk for baking</v>
      </c>
      <c r="AD38" t="str" cm="1">
        <f t="array" aca="1" ref="AD38" ca="1">INDEX($D$2:$D$101,RANDBETWEEN(1,ROWS(AD39:AD137)))</f>
        <v>Electric Nail File Kit</v>
      </c>
      <c r="AE38" t="str">
        <f t="shared" ca="1" si="29"/>
        <v>For manicure and pedicure at home</v>
      </c>
      <c r="AF38" t="str" cm="1">
        <f t="array" aca="1" ref="AF38" ca="1">INDEX($D$2:$D$101,RANDBETWEEN(1,ROWS(AF39:AF137)))</f>
        <v>Mosquito Killer Lamp</v>
      </c>
      <c r="AG38" t="str">
        <f t="shared" ca="1" si="30"/>
        <v>Electric trap for mosquitoes</v>
      </c>
      <c r="AH38" t="str" cm="1">
        <f t="array" aca="1" ref="AH38" ca="1">INDEX($D$2:$D$101,RANDBETWEEN(1,ROWS(AH39:AH137)))</f>
        <v>Automatic Hand Sanitizer</v>
      </c>
      <c r="AI38" t="str">
        <f t="shared" ca="1" si="31"/>
        <v>Touchless sanitizer dispenser</v>
      </c>
      <c r="AJ38" t="str" cm="1">
        <f t="array" aca="1" ref="AJ38" ca="1">INDEX($D$2:$D$101,RANDBETWEEN(1,ROWS(AJ39:AJ137)))</f>
        <v>Smart Rearview Mirror</v>
      </c>
      <c r="AK38" t="str">
        <f t="shared" ca="1" si="35"/>
        <v>Touchscreen mirror with GPS and camera</v>
      </c>
      <c r="AL38" t="str" cm="1">
        <f t="array" aca="1" ref="AL38" ca="1">INDEX($D$2:$D$101,RANDBETWEEN(1,ROWS(AL39:AL137)))</f>
        <v>Cold Press Juicer</v>
      </c>
      <c r="AM38" t="str">
        <f t="shared" ca="1" si="32"/>
        <v>Slow juicer for better nutrient retention</v>
      </c>
      <c r="AN38" t="str" cm="1">
        <f t="array" aca="1" ref="AN38" ca="1">INDEX($D$2:$D$101,RANDBETWEEN(1,ROWS(AN39:AN137)))</f>
        <v>Roti Maker</v>
      </c>
      <c r="AO38" t="str">
        <f t="shared" ca="1" si="33"/>
        <v>Flattens and cooks Indian flatbreads</v>
      </c>
      <c r="AP38" t="str" cm="1">
        <f t="array" aca="1" ref="AP38" ca="1">INDEX($D$2:$D$101,RANDBETWEEN(1,ROWS(AP39:AP137)))</f>
        <v>Electric Nail File Kit</v>
      </c>
      <c r="AQ38" t="str">
        <f t="shared" ca="1" si="34"/>
        <v>For manicure and pedicure at home</v>
      </c>
    </row>
    <row r="39" spans="1:43" ht="20.5" customHeight="1" x14ac:dyDescent="0.3">
      <c r="A39" s="22">
        <v>138</v>
      </c>
      <c r="B39" t="s">
        <v>355</v>
      </c>
      <c r="C39" t="s">
        <v>131</v>
      </c>
      <c r="D39" s="1" t="s">
        <v>132</v>
      </c>
      <c r="E39" s="1" t="s">
        <v>133</v>
      </c>
      <c r="F39" t="str" cm="1">
        <f t="array" aca="1" ref="F39" ca="1">INDEX($D$2:$D$101,RANDBETWEEN(1,ROWS(F40:F138)))</f>
        <v>Motion Detector</v>
      </c>
      <c r="G39" t="str">
        <f t="shared" ca="1" si="0"/>
        <v>Triggers alarm or light on motion detection</v>
      </c>
      <c r="H39" t="str" cm="1">
        <f t="array" aca="1" ref="H39" ca="1">INDEX($D$2:$D$101,RANDBETWEEN(1,ROWS(H40:H138)))</f>
        <v>Bread Maker</v>
      </c>
      <c r="I39" t="str">
        <f t="shared" ca="1" si="18"/>
        <v>Automatically bakes fresh bread</v>
      </c>
      <c r="J39" t="str" cm="1">
        <f t="array" aca="1" ref="J39" ca="1">INDEX($D$2:$D$101,RANDBETWEEN(1,ROWS(J40:J138)))</f>
        <v>Soundbar</v>
      </c>
      <c r="K39" t="str">
        <f t="shared" ca="1" si="19"/>
        <v>Compact speaker bar for TVs</v>
      </c>
      <c r="L39" t="str" cm="1">
        <f t="array" aca="1" ref="L39" ca="1">INDEX($D$2:$D$101,RANDBETWEEN(1,ROWS(L40:L138)))</f>
        <v>Automatic Hand Sanitizer</v>
      </c>
      <c r="M39" t="str">
        <f t="shared" ca="1" si="20"/>
        <v>Touchless sanitizer dispenser</v>
      </c>
      <c r="N39" t="str" cm="1">
        <f t="array" aca="1" ref="N39" ca="1">INDEX($D$2:$D$101,RANDBETWEEN(1,ROWS(N40:N138)))</f>
        <v>HDMI Cable</v>
      </c>
      <c r="O39" t="str">
        <f t="shared" ca="1" si="21"/>
        <v>Transfers audio/video signals</v>
      </c>
      <c r="P39" t="str" cm="1">
        <f t="array" aca="1" ref="P39" ca="1">INDEX($D$2:$D$101,RANDBETWEEN(1,ROWS(P40:P138)))</f>
        <v>Electric Water Boiler</v>
      </c>
      <c r="Q39" t="str">
        <f t="shared" ca="1" si="22"/>
        <v>Quickly boils large volumes of water</v>
      </c>
      <c r="R39" t="str" cm="1">
        <f t="array" aca="1" ref="R39" ca="1">INDEX($D$2:$D$101,RANDBETWEEN(1,ROWS(R40:R138)))</f>
        <v>Bluetooth Alarm Clock</v>
      </c>
      <c r="S39" t="str">
        <f t="shared" ca="1" si="23"/>
        <v>Combines alarm with Bluetooth speaker</v>
      </c>
      <c r="T39" t="str" cm="1">
        <f t="array" aca="1" ref="T39" ca="1">INDEX($D$2:$D$101,RANDBETWEEN(1,ROWS(T40:T138)))</f>
        <v>Electric Grill</v>
      </c>
      <c r="U39" t="str">
        <f t="shared" ca="1" si="24"/>
        <v>Indoor grill for meat and vegetables</v>
      </c>
      <c r="V39" t="str" cm="1">
        <f t="array" aca="1" ref="V39" ca="1">INDEX($D$2:$D$101,RANDBETWEEN(1,ROWS(V40:V138)))</f>
        <v>Portable Power Station</v>
      </c>
      <c r="W39" t="str">
        <f t="shared" ca="1" si="25"/>
        <v>Rechargeable power supply for outdoors</v>
      </c>
      <c r="X39" t="str" cm="1">
        <f t="array" aca="1" ref="X39" ca="1">INDEX($D$2:$D$101,RANDBETWEEN(1,ROWS(X40:X138)))</f>
        <v>Wall-Mounted Fan</v>
      </c>
      <c r="Y39" t="str">
        <f t="shared" ca="1" si="26"/>
        <v>Space-saving fan for wall mounting</v>
      </c>
      <c r="Z39" t="str" cm="1">
        <f t="array" aca="1" ref="Z39" ca="1">INDEX($D$2:$D$101,RANDBETWEEN(1,ROWS(Z40:Z138)))</f>
        <v>Water Dispenser</v>
      </c>
      <c r="AA39" t="str">
        <f t="shared" ca="1" si="27"/>
        <v>Dispenses hot and cold water</v>
      </c>
      <c r="AB39" t="str" cm="1">
        <f t="array" aca="1" ref="AB39" ca="1">INDEX($D$2:$D$101,RANDBETWEEN(1,ROWS(AB40:AB138)))</f>
        <v>Room Heater</v>
      </c>
      <c r="AC39" t="str">
        <f t="shared" ca="1" si="28"/>
        <v>Electric heater for indoor heating</v>
      </c>
      <c r="AD39" t="str" cm="1">
        <f t="array" aca="1" ref="AD39" ca="1">INDEX($D$2:$D$101,RANDBETWEEN(1,ROWS(AD40:AD138)))</f>
        <v>Bluetooth Transmitter</v>
      </c>
      <c r="AE39" t="str">
        <f t="shared" ca="1" si="29"/>
        <v>Sends audio to Bluetooth devices</v>
      </c>
      <c r="AF39" t="str" cm="1">
        <f t="array" aca="1" ref="AF39" ca="1">INDEX($D$2:$D$101,RANDBETWEEN(1,ROWS(AF40:AF138)))</f>
        <v>Crepe Maker</v>
      </c>
      <c r="AG39" t="str">
        <f t="shared" ca="1" si="30"/>
        <v>Electric pan for making crepes</v>
      </c>
      <c r="AH39" t="str" cm="1">
        <f t="array" aca="1" ref="AH39" ca="1">INDEX($D$2:$D$101,RANDBETWEEN(1,ROWS(AH40:AH138)))</f>
        <v>Air Humidifier with Light</v>
      </c>
      <c r="AI39" t="str">
        <f t="shared" ca="1" si="31"/>
        <v>Adds moisture and includes night light feature</v>
      </c>
      <c r="AJ39" t="str" cm="1">
        <f t="array" aca="1" ref="AJ39" ca="1">INDEX($D$2:$D$101,RANDBETWEEN(1,ROWS(AJ40:AJ138)))</f>
        <v>Motion Sensor Light</v>
      </c>
      <c r="AK39" t="str">
        <f t="shared" ca="1" si="35"/>
        <v>Lights that activate on movement</v>
      </c>
      <c r="AL39" t="str" cm="1">
        <f t="array" aca="1" ref="AL39" ca="1">INDEX($D$2:$D$101,RANDBETWEEN(1,ROWS(AL40:AL138)))</f>
        <v>Ultrasonic Humidifier</v>
      </c>
      <c r="AM39" t="str">
        <f t="shared" ca="1" si="32"/>
        <v>Mist-based humidifier using ultrasonic vibrations</v>
      </c>
      <c r="AN39" t="str" cm="1">
        <f t="array" aca="1" ref="AN39" ca="1">INDEX($D$2:$D$101,RANDBETWEEN(1,ROWS(AN40:AN138)))</f>
        <v>Smart Ceiling Light</v>
      </c>
      <c r="AO39" t="str">
        <f t="shared" ca="1" si="33"/>
        <v>Wi-Fi-enabled, color-changing ceiling light</v>
      </c>
      <c r="AP39" t="str" cm="1">
        <f t="array" aca="1" ref="AP39" ca="1">INDEX($D$2:$D$101,RANDBETWEEN(1,ROWS(AP40:AP138)))</f>
        <v>Extension Board with USB</v>
      </c>
      <c r="AQ39" t="str">
        <f t="shared" ca="1" si="34"/>
        <v>Power strip with USB charging ports</v>
      </c>
    </row>
    <row r="40" spans="1:43" ht="20.5" customHeight="1" x14ac:dyDescent="0.3">
      <c r="A40" s="22">
        <v>139</v>
      </c>
      <c r="B40" t="s">
        <v>356</v>
      </c>
      <c r="C40" t="s">
        <v>134</v>
      </c>
      <c r="D40" s="1" t="s">
        <v>135</v>
      </c>
      <c r="E40" s="1" t="s">
        <v>136</v>
      </c>
      <c r="F40" t="str" cm="1">
        <f t="array" aca="1" ref="F40" ca="1">INDEX($D$2:$D$101,RANDBETWEEN(1,ROWS(F41:F139)))</f>
        <v>Smart Toothbrush</v>
      </c>
      <c r="G40" t="str">
        <f t="shared" ca="1" si="0"/>
        <v>Electric brush with Bluetooth tracking</v>
      </c>
      <c r="H40" t="str" cm="1">
        <f t="array" aca="1" ref="H40" ca="1">INDEX($D$2:$D$101,RANDBETWEEN(1,ROWS(H41:H139)))</f>
        <v>Electric Egg Beater</v>
      </c>
      <c r="I40" t="str">
        <f t="shared" ca="1" si="18"/>
        <v>Handheld electric whisk for baking</v>
      </c>
      <c r="J40" t="str" cm="1">
        <f t="array" aca="1" ref="J40" ca="1">INDEX($D$2:$D$101,RANDBETWEEN(1,ROWS(J41:J139)))</f>
        <v>Personal Neck Fan</v>
      </c>
      <c r="K40" t="str">
        <f t="shared" ca="1" si="19"/>
        <v>Wearable fan for hands-free cooling</v>
      </c>
      <c r="L40" t="str" cm="1">
        <f t="array" aca="1" ref="L40" ca="1">INDEX($D$2:$D$101,RANDBETWEEN(1,ROWS(L41:L139)))</f>
        <v>Portable Induction Stove</v>
      </c>
      <c r="M40" t="str">
        <f t="shared" ca="1" si="20"/>
        <v>Lightweight induction stove for mobile cooking</v>
      </c>
      <c r="N40" t="str" cm="1">
        <f t="array" aca="1" ref="N40" ca="1">INDEX($D$2:$D$101,RANDBETWEEN(1,ROWS(N41:N139)))</f>
        <v>Smart Switch</v>
      </c>
      <c r="O40" t="str">
        <f t="shared" ca="1" si="21"/>
        <v>Wi-Fi-enabled wall switch for remote operation</v>
      </c>
      <c r="P40" t="str" cm="1">
        <f t="array" aca="1" ref="P40" ca="1">INDEX($D$2:$D$101,RANDBETWEEN(1,ROWS(P41:P139)))</f>
        <v>Desktop Air Purifier</v>
      </c>
      <c r="Q40" t="str">
        <f t="shared" ca="1" si="22"/>
        <v>Compact purifier for desks</v>
      </c>
      <c r="R40" t="str" cm="1">
        <f t="array" aca="1" ref="R40" ca="1">INDEX($D$2:$D$101,RANDBETWEEN(1,ROWS(R41:R139)))</f>
        <v>Pedestal Fan</v>
      </c>
      <c r="S40" t="str">
        <f t="shared" ca="1" si="23"/>
        <v>Adjustable stand fan for personal cooling</v>
      </c>
      <c r="T40" t="str" cm="1">
        <f t="array" aca="1" ref="T40" ca="1">INDEX($D$2:$D$101,RANDBETWEEN(1,ROWS(T41:T139)))</f>
        <v>Ceiling Light with Fan</v>
      </c>
      <c r="U40" t="str">
        <f t="shared" ca="1" si="24"/>
        <v>Dual-function decorative ceiling light with built-in fan</v>
      </c>
      <c r="V40" t="str" cm="1">
        <f t="array" aca="1" ref="V40" ca="1">INDEX($D$2:$D$101,RANDBETWEEN(1,ROWS(V41:V139)))</f>
        <v>Inverter AC</v>
      </c>
      <c r="W40" t="str">
        <f t="shared" ca="1" si="25"/>
        <v>Energy-efficient air conditioner</v>
      </c>
      <c r="X40" t="str" cm="1">
        <f t="array" aca="1" ref="X40" ca="1">INDEX($D$2:$D$101,RANDBETWEEN(1,ROWS(X41:X139)))</f>
        <v>Kitchen Timer</v>
      </c>
      <c r="Y40" t="str">
        <f t="shared" ca="1" si="26"/>
        <v>Digital countdown timer for cooking</v>
      </c>
      <c r="Z40" t="str" cm="1">
        <f t="array" aca="1" ref="Z40" ca="1">INDEX($D$2:$D$101,RANDBETWEEN(1,ROWS(Z41:Z139)))</f>
        <v>HDMI Switch</v>
      </c>
      <c r="AA40" t="str">
        <f t="shared" ca="1" si="27"/>
        <v>Connects multiple HDMI devices</v>
      </c>
      <c r="AB40" t="str" cm="1">
        <f t="array" aca="1" ref="AB40" ca="1">INDEX($D$2:$D$101,RANDBETWEEN(1,ROWS(AB41:AB139)))</f>
        <v>Pancake Maker</v>
      </c>
      <c r="AC40" t="str">
        <f t="shared" ca="1" si="28"/>
        <v>Easy tool for making pancakes</v>
      </c>
      <c r="AD40" t="str" cm="1">
        <f t="array" aca="1" ref="AD40" ca="1">INDEX($D$2:$D$101,RANDBETWEEN(1,ROWS(AD41:AD139)))</f>
        <v>Personal Neck Fan</v>
      </c>
      <c r="AE40" t="str">
        <f t="shared" ca="1" si="29"/>
        <v>Wearable fan for hands-free cooling</v>
      </c>
      <c r="AF40" t="str" cm="1">
        <f t="array" aca="1" ref="AF40" ca="1">INDEX($D$2:$D$101,RANDBETWEEN(1,ROWS(AF41:AF139)))</f>
        <v>Electric Facial Brush</v>
      </c>
      <c r="AG40" t="str">
        <f t="shared" ca="1" si="30"/>
        <v>Cleansing brush for exfoliation</v>
      </c>
      <c r="AH40" t="str" cm="1">
        <f t="array" aca="1" ref="AH40" ca="1">INDEX($D$2:$D$101,RANDBETWEEN(1,ROWS(AH41:AH139)))</f>
        <v>Waffle Maker</v>
      </c>
      <c r="AI40" t="str">
        <f t="shared" ca="1" si="31"/>
        <v>Makes waffles at home</v>
      </c>
      <c r="AJ40" t="str" cm="1">
        <f t="array" aca="1" ref="AJ40" ca="1">INDEX($D$2:$D$101,RANDBETWEEN(1,ROWS(AJ41:AJ139)))</f>
        <v>Smart IR Remote</v>
      </c>
      <c r="AK40" t="str">
        <f t="shared" ca="1" si="35"/>
        <v>Controls appliances via smartphone</v>
      </c>
      <c r="AL40" t="str" cm="1">
        <f t="array" aca="1" ref="AL40" ca="1">INDEX($D$2:$D$101,RANDBETWEEN(1,ROWS(AL41:AL139)))</f>
        <v>Car Air Purifier</v>
      </c>
      <c r="AM40" t="str">
        <f t="shared" ca="1" si="32"/>
        <v>Filters air inside vehicles</v>
      </c>
      <c r="AN40" t="str" cm="1">
        <f t="array" aca="1" ref="AN40" ca="1">INDEX($D$2:$D$101,RANDBETWEEN(1,ROWS(AN41:AN139)))</f>
        <v>Soundbar</v>
      </c>
      <c r="AO40" t="str">
        <f t="shared" ca="1" si="33"/>
        <v>Compact speaker bar for TVs</v>
      </c>
      <c r="AP40" t="str" cm="1">
        <f t="array" aca="1" ref="AP40" ca="1">INDEX($D$2:$D$101,RANDBETWEEN(1,ROWS(AP41:AP139)))</f>
        <v>Robot Vacuum Cleaner</v>
      </c>
      <c r="AQ40" t="str">
        <f t="shared" ca="1" si="34"/>
        <v>Automated floor cleaning device</v>
      </c>
    </row>
    <row r="41" spans="1:43" ht="20.5" customHeight="1" x14ac:dyDescent="0.3">
      <c r="A41" s="22">
        <v>140</v>
      </c>
      <c r="B41" t="s">
        <v>357</v>
      </c>
      <c r="C41" t="s">
        <v>137</v>
      </c>
      <c r="D41" s="1" t="s">
        <v>138</v>
      </c>
      <c r="E41" s="1" t="s">
        <v>139</v>
      </c>
      <c r="F41" t="str" cm="1">
        <f t="array" aca="1" ref="F41" ca="1">INDEX($D$2:$D$101,RANDBETWEEN(1,ROWS(F42:F140)))</f>
        <v>Ceiling Light with Fan</v>
      </c>
      <c r="G41" t="str">
        <f t="shared" ca="1" si="0"/>
        <v>Dual-function decorative ceiling light with built-in fan</v>
      </c>
      <c r="H41" t="str" cm="1">
        <f t="array" aca="1" ref="H41" ca="1">INDEX($D$2:$D$101,RANDBETWEEN(1,ROWS(H42:H140)))</f>
        <v>USB-C Docking Station</v>
      </c>
      <c r="I41" t="str">
        <f t="shared" ca="1" si="18"/>
        <v>Expands ports for laptops</v>
      </c>
      <c r="J41" t="str" cm="1">
        <f t="array" aca="1" ref="J41" ca="1">INDEX($D$2:$D$101,RANDBETWEEN(1,ROWS(J42:J140)))</f>
        <v>UV Sterilizer Box</v>
      </c>
      <c r="K41" t="str">
        <f t="shared" ca="1" si="19"/>
        <v>Disinfects small items using UV light</v>
      </c>
      <c r="L41" t="str" cm="1">
        <f t="array" aca="1" ref="L41" ca="1">INDEX($D$2:$D$101,RANDBETWEEN(1,ROWS(L42:L140)))</f>
        <v>Smart Weighing Scale</v>
      </c>
      <c r="M41" t="str">
        <f t="shared" ca="1" si="20"/>
        <v>Body scale with app sync and health data</v>
      </c>
      <c r="N41" t="str" cm="1">
        <f t="array" aca="1" ref="N41" ca="1">INDEX($D$2:$D$101,RANDBETWEEN(1,ROWS(N42:N140)))</f>
        <v>Smart Rearview Mirror</v>
      </c>
      <c r="O41" t="str">
        <f t="shared" ca="1" si="21"/>
        <v>Touchscreen mirror with GPS and camera</v>
      </c>
      <c r="P41" t="str" cm="1">
        <f t="array" aca="1" ref="P41" ca="1">INDEX($D$2:$D$101,RANDBETWEEN(1,ROWS(P42:P140)))</f>
        <v>Solar Garden Light</v>
      </c>
      <c r="Q41" t="str">
        <f t="shared" ca="1" si="22"/>
        <v>Solar-powered outdoor lighting</v>
      </c>
      <c r="R41" t="str" cm="1">
        <f t="array" aca="1" ref="R41" ca="1">INDEX($D$2:$D$101,RANDBETWEEN(1,ROWS(R42:R140)))</f>
        <v>Crepe Maker</v>
      </c>
      <c r="S41" t="str">
        <f t="shared" ca="1" si="23"/>
        <v>Electric pan for making crepes</v>
      </c>
      <c r="T41" t="str" cm="1">
        <f t="array" aca="1" ref="T41" ca="1">INDEX($D$2:$D$101,RANDBETWEEN(1,ROWS(T42:T140)))</f>
        <v>Bluetooth Transmitter</v>
      </c>
      <c r="U41" t="str">
        <f t="shared" ca="1" si="24"/>
        <v>Sends audio to Bluetooth devices</v>
      </c>
      <c r="V41" t="str" cm="1">
        <f t="array" aca="1" ref="V41" ca="1">INDEX($D$2:$D$101,RANDBETWEEN(1,ROWS(V42:V140)))</f>
        <v>Cord Organizer Box</v>
      </c>
      <c r="W41" t="str">
        <f t="shared" ca="1" si="25"/>
        <v>Box to hide and manage power strips</v>
      </c>
      <c r="X41" t="str" cm="1">
        <f t="array" aca="1" ref="X41" ca="1">INDEX($D$2:$D$101,RANDBETWEEN(1,ROWS(X42:X140)))</f>
        <v>Air Humidifier with Light</v>
      </c>
      <c r="Y41" t="str">
        <f t="shared" ca="1" si="26"/>
        <v>Adds moisture and includes night light feature</v>
      </c>
      <c r="Z41" t="str" cm="1">
        <f t="array" aca="1" ref="Z41" ca="1">INDEX($D$2:$D$101,RANDBETWEEN(1,ROWS(Z42:Z140)))</f>
        <v>Kitchen Weighing Scale</v>
      </c>
      <c r="AA41" t="str">
        <f t="shared" ca="1" si="27"/>
        <v>Measures food portions accurately</v>
      </c>
      <c r="AB41" t="str" cm="1">
        <f t="array" aca="1" ref="AB41" ca="1">INDEX($D$2:$D$101,RANDBETWEEN(1,ROWS(AB42:AB140)))</f>
        <v>Smart Rearview Mirror</v>
      </c>
      <c r="AC41" t="str">
        <f t="shared" ca="1" si="28"/>
        <v>Touchscreen mirror with GPS and camera</v>
      </c>
      <c r="AD41" t="str" cm="1">
        <f t="array" aca="1" ref="AD41" ca="1">INDEX($D$2:$D$101,RANDBETWEEN(1,ROWS(AD42:AD140)))</f>
        <v>Dashcam Rear Camera</v>
      </c>
      <c r="AE41" t="str">
        <f t="shared" ca="1" si="29"/>
        <v>Rear view recording for vehicles</v>
      </c>
      <c r="AF41" t="str" cm="1">
        <f t="array" aca="1" ref="AF41" ca="1">INDEX($D$2:$D$101,RANDBETWEEN(1,ROWS(AF42:AF140)))</f>
        <v>Smart Mosquito Repeller</v>
      </c>
      <c r="AG41" t="str">
        <f t="shared" ca="1" si="30"/>
        <v>USB-powered electronic insect repeller</v>
      </c>
      <c r="AH41" t="str" cm="1">
        <f t="array" aca="1" ref="AH41" ca="1">INDEX($D$2:$D$101,RANDBETWEEN(1,ROWS(AH42:AH140)))</f>
        <v>Facial Steamer</v>
      </c>
      <c r="AI41" t="str">
        <f t="shared" ca="1" si="31"/>
        <v>Opens pores for skincare routine</v>
      </c>
      <c r="AJ41" t="str" cm="1">
        <f t="array" aca="1" ref="AJ41" ca="1">INDEX($D$2:$D$101,RANDBETWEEN(1,ROWS(AJ42:AJ140)))</f>
        <v>Smart Rearview Mirror</v>
      </c>
      <c r="AK41" t="str">
        <f t="shared" ca="1" si="35"/>
        <v>Touchscreen mirror with GPS and camera</v>
      </c>
      <c r="AL41" t="str" cm="1">
        <f t="array" aca="1" ref="AL41" ca="1">INDEX($D$2:$D$101,RANDBETWEEN(1,ROWS(AL42:AL140)))</f>
        <v>Pancake Maker</v>
      </c>
      <c r="AM41" t="str">
        <f t="shared" ca="1" si="32"/>
        <v>Easy tool for making pancakes</v>
      </c>
      <c r="AN41" t="str" cm="1">
        <f t="array" aca="1" ref="AN41" ca="1">INDEX($D$2:$D$101,RANDBETWEEN(1,ROWS(AN42:AN140)))</f>
        <v>Smart Toothbrush</v>
      </c>
      <c r="AO41" t="str">
        <f t="shared" ca="1" si="33"/>
        <v>Electric brush with Bluetooth tracking</v>
      </c>
      <c r="AP41" t="str" cm="1">
        <f t="array" aca="1" ref="AP41" ca="1">INDEX($D$2:$D$101,RANDBETWEEN(1,ROWS(AP42:AP140)))</f>
        <v>TV Wall Mount</v>
      </c>
      <c r="AQ41" t="str">
        <f t="shared" ca="1" si="34"/>
        <v>Mounting bracket for flat TVs</v>
      </c>
    </row>
    <row r="42" spans="1:43" ht="20.5" customHeight="1" x14ac:dyDescent="0.3">
      <c r="A42" s="22">
        <v>141</v>
      </c>
      <c r="B42" t="s">
        <v>358</v>
      </c>
      <c r="C42" t="s">
        <v>140</v>
      </c>
      <c r="D42" s="1" t="s">
        <v>141</v>
      </c>
      <c r="E42" s="1" t="s">
        <v>142</v>
      </c>
      <c r="F42" t="str" cm="1">
        <f t="array" aca="1" ref="F42" ca="1">INDEX($D$2:$D$101,RANDBETWEEN(1,ROWS(F43:F141)))</f>
        <v>Smart Car Charger</v>
      </c>
      <c r="G42" t="str">
        <f t="shared" ca="1" si="0"/>
        <v>USB charger with smart protection features</v>
      </c>
      <c r="H42" t="str" cm="1">
        <f t="array" aca="1" ref="H42" ca="1">INDEX($D$2:$D$101,RANDBETWEEN(1,ROWS(H43:H141)))</f>
        <v>Bluetooth Alarm Clock</v>
      </c>
      <c r="I42" t="str">
        <f t="shared" ca="1" si="18"/>
        <v>Combines alarm with Bluetooth speaker</v>
      </c>
      <c r="J42" t="str" cm="1">
        <f t="array" aca="1" ref="J42" ca="1">INDEX($D$2:$D$101,RANDBETWEEN(1,ROWS(J43:J141)))</f>
        <v>Air Cooler</v>
      </c>
      <c r="K42" t="str">
        <f t="shared" ca="1" si="19"/>
        <v>Evaporative cooling appliance for rooms</v>
      </c>
      <c r="L42" t="str" cm="1">
        <f t="array" aca="1" ref="L42" ca="1">INDEX($D$2:$D$101,RANDBETWEEN(1,ROWS(L43:L141)))</f>
        <v>Subwoofer</v>
      </c>
      <c r="M42" t="str">
        <f t="shared" ca="1" si="20"/>
        <v>Deep bass audio speaker</v>
      </c>
      <c r="N42" t="str" cm="1">
        <f t="array" aca="1" ref="N42" ca="1">INDEX($D$2:$D$101,RANDBETWEEN(1,ROWS(N43:N141)))</f>
        <v>Smart Smoke Detector</v>
      </c>
      <c r="O42" t="str">
        <f t="shared" ca="1" si="21"/>
        <v>Smoke alarm with smart alerts</v>
      </c>
      <c r="P42" t="str" cm="1">
        <f t="array" aca="1" ref="P42" ca="1">INDEX($D$2:$D$101,RANDBETWEEN(1,ROWS(P43:P141)))</f>
        <v>Callus Remover</v>
      </c>
      <c r="Q42" t="str">
        <f t="shared" ca="1" si="22"/>
        <v>Removes dead skin from feet</v>
      </c>
      <c r="R42" t="str" cm="1">
        <f t="array" aca="1" ref="R42" ca="1">INDEX($D$2:$D$101,RANDBETWEEN(1,ROWS(R43:R141)))</f>
        <v>HDMI Cable</v>
      </c>
      <c r="S42" t="str">
        <f t="shared" ca="1" si="23"/>
        <v>Transfers audio/video signals</v>
      </c>
      <c r="T42" t="str" cm="1">
        <f t="array" aca="1" ref="T42" ca="1">INDEX($D$2:$D$101,RANDBETWEEN(1,ROWS(T43:T141)))</f>
        <v>HDMI Switch</v>
      </c>
      <c r="U42" t="str">
        <f t="shared" ca="1" si="24"/>
        <v>Connects multiple HDMI devices</v>
      </c>
      <c r="V42" t="str" cm="1">
        <f t="array" aca="1" ref="V42" ca="1">INDEX($D$2:$D$101,RANDBETWEEN(1,ROWS(V43:V141)))</f>
        <v>Meat Grinder</v>
      </c>
      <c r="W42" t="str">
        <f t="shared" ca="1" si="25"/>
        <v>Grinds meat for home cooking</v>
      </c>
      <c r="X42" t="str" cm="1">
        <f t="array" aca="1" ref="X42" ca="1">INDEX($D$2:$D$101,RANDBETWEEN(1,ROWS(X43:X141)))</f>
        <v>Bluetooth Alarm Clock</v>
      </c>
      <c r="Y42" t="str">
        <f t="shared" ca="1" si="26"/>
        <v>Combines alarm with Bluetooth speaker</v>
      </c>
      <c r="Z42" t="str" cm="1">
        <f t="array" aca="1" ref="Z42" ca="1">INDEX($D$2:$D$101,RANDBETWEEN(1,ROWS(Z43:Z141)))</f>
        <v>Water Dispenser</v>
      </c>
      <c r="AA42" t="str">
        <f t="shared" ca="1" si="27"/>
        <v>Dispenses hot and cold water</v>
      </c>
      <c r="AB42" t="str" cm="1">
        <f t="array" aca="1" ref="AB42" ca="1">INDEX($D$2:$D$101,RANDBETWEEN(1,ROWS(AB43:AB141)))</f>
        <v>Chimney Hood</v>
      </c>
      <c r="AC42" t="str">
        <f t="shared" ca="1" si="28"/>
        <v>Kitchen exhaust for smoke and fumes</v>
      </c>
      <c r="AD42" t="str" cm="1">
        <f t="array" aca="1" ref="AD42" ca="1">INDEX($D$2:$D$101,RANDBETWEEN(1,ROWS(AD43:AD141)))</f>
        <v>Smart IR Remote</v>
      </c>
      <c r="AE42" t="str">
        <f t="shared" ca="1" si="29"/>
        <v>Controls appliances via smartphone</v>
      </c>
      <c r="AF42" t="str" cm="1">
        <f t="array" aca="1" ref="AF42" ca="1">INDEX($D$2:$D$101,RANDBETWEEN(1,ROWS(AF43:AF141)))</f>
        <v>Smart Switch</v>
      </c>
      <c r="AG42" t="str">
        <f t="shared" ca="1" si="30"/>
        <v>Wi-Fi-enabled wall switch for remote operation</v>
      </c>
      <c r="AH42" t="str" cm="1">
        <f t="array" aca="1" ref="AH42" ca="1">INDEX($D$2:$D$101,RANDBETWEEN(1,ROWS(AH43:AH141)))</f>
        <v>Mini Fridge</v>
      </c>
      <c r="AI42" t="str">
        <f t="shared" ca="1" si="31"/>
        <v>Compact refrigerator for beverages</v>
      </c>
      <c r="AJ42" t="str" cm="1">
        <f t="array" aca="1" ref="AJ42" ca="1">INDEX($D$2:$D$101,RANDBETWEEN(1,ROWS(AJ43:AJ141)))</f>
        <v>Car Subwoofer</v>
      </c>
      <c r="AK42" t="str">
        <f t="shared" ca="1" si="35"/>
        <v>Audio upgrade for car music systems</v>
      </c>
      <c r="AL42" t="str" cm="1">
        <f t="array" aca="1" ref="AL42" ca="1">INDEX($D$2:$D$101,RANDBETWEEN(1,ROWS(AL43:AL141)))</f>
        <v>Smart Smoke Detector</v>
      </c>
      <c r="AM42" t="str">
        <f t="shared" ca="1" si="32"/>
        <v>Smoke alarm with smart alerts</v>
      </c>
      <c r="AN42" t="str" cm="1">
        <f t="array" aca="1" ref="AN42" ca="1">INDEX($D$2:$D$101,RANDBETWEEN(1,ROWS(AN43:AN141)))</f>
        <v>Subwoofer</v>
      </c>
      <c r="AO42" t="str">
        <f t="shared" ca="1" si="33"/>
        <v>Deep bass audio speaker</v>
      </c>
      <c r="AP42" t="str" cm="1">
        <f t="array" aca="1" ref="AP42" ca="1">INDEX($D$2:$D$101,RANDBETWEEN(1,ROWS(AP43:AP141)))</f>
        <v>UV Sterilizer Box</v>
      </c>
      <c r="AQ42" t="str">
        <f t="shared" ca="1" si="34"/>
        <v>Disinfects small items using UV light</v>
      </c>
    </row>
    <row r="43" spans="1:43" ht="20.5" customHeight="1" x14ac:dyDescent="0.3">
      <c r="A43" s="22">
        <v>142</v>
      </c>
      <c r="B43" t="s">
        <v>359</v>
      </c>
      <c r="C43" t="s">
        <v>143</v>
      </c>
      <c r="D43" s="1" t="s">
        <v>144</v>
      </c>
      <c r="E43" s="1" t="s">
        <v>145</v>
      </c>
      <c r="F43" t="str" cm="1">
        <f t="array" aca="1" ref="F43" ca="1">INDEX($D$2:$D$101,RANDBETWEEN(1,ROWS(F44:F142)))</f>
        <v>Espresso Machine</v>
      </c>
      <c r="G43" t="str">
        <f t="shared" ca="1" si="0"/>
        <v>Makes espresso coffee drinks</v>
      </c>
      <c r="H43" t="str" cm="1">
        <f t="array" aca="1" ref="H43" ca="1">INDEX($D$2:$D$101,RANDBETWEEN(1,ROWS(H44:H142)))</f>
        <v>Smart Smoke Detector</v>
      </c>
      <c r="I43" t="str">
        <f t="shared" ca="1" si="18"/>
        <v>Smoke alarm with smart alerts</v>
      </c>
      <c r="J43" t="str" cm="1">
        <f t="array" aca="1" ref="J43" ca="1">INDEX($D$2:$D$101,RANDBETWEEN(1,ROWS(J44:J142)))</f>
        <v>Kitchen Weighing Scale</v>
      </c>
      <c r="K43" t="str">
        <f t="shared" ca="1" si="19"/>
        <v>Measures food portions accurately</v>
      </c>
      <c r="L43" t="str" cm="1">
        <f t="array" aca="1" ref="L43" ca="1">INDEX($D$2:$D$101,RANDBETWEEN(1,ROWS(L44:L142)))</f>
        <v>LED Desk Lamp</v>
      </c>
      <c r="M43" t="str">
        <f t="shared" ca="1" si="20"/>
        <v>Adjustable desk lamp with LED lighting</v>
      </c>
      <c r="N43" t="str" cm="1">
        <f t="array" aca="1" ref="N43" ca="1">INDEX($D$2:$D$101,RANDBETWEEN(1,ROWS(N44:N142)))</f>
        <v>Crepe Maker</v>
      </c>
      <c r="O43" t="str">
        <f t="shared" ca="1" si="21"/>
        <v>Electric pan for making crepes</v>
      </c>
      <c r="P43" t="str" cm="1">
        <f t="array" aca="1" ref="P43" ca="1">INDEX($D$2:$D$101,RANDBETWEEN(1,ROWS(P44:P142)))</f>
        <v>Soundbar</v>
      </c>
      <c r="Q43" t="str">
        <f t="shared" ca="1" si="22"/>
        <v>Compact speaker bar for TVs</v>
      </c>
      <c r="R43" t="str" cm="1">
        <f t="array" aca="1" ref="R43" ca="1">INDEX($D$2:$D$101,RANDBETWEEN(1,ROWS(R44:R142)))</f>
        <v>Smart Microwave</v>
      </c>
      <c r="S43" t="str">
        <f t="shared" ca="1" si="23"/>
        <v>Microwave with voice or app control</v>
      </c>
      <c r="T43" t="str" cm="1">
        <f t="array" aca="1" ref="T43" ca="1">INDEX($D$2:$D$101,RANDBETWEEN(1,ROWS(T44:T142)))</f>
        <v>Smart Energy Monitor</v>
      </c>
      <c r="U43" t="str">
        <f t="shared" ca="1" si="24"/>
        <v>Tracks power consumption in real-time</v>
      </c>
      <c r="V43" t="str" cm="1">
        <f t="array" aca="1" ref="V43" ca="1">INDEX($D$2:$D$101,RANDBETWEEN(1,ROWS(V44:V142)))</f>
        <v>Ice Maker</v>
      </c>
      <c r="W43" t="str">
        <f t="shared" ca="1" si="25"/>
        <v>Machine that produces ice cubes automatically</v>
      </c>
      <c r="X43" t="str" cm="1">
        <f t="array" aca="1" ref="X43" ca="1">INDEX($D$2:$D$101,RANDBETWEEN(1,ROWS(X44:X142)))</f>
        <v>Smart Switch</v>
      </c>
      <c r="Y43" t="str">
        <f t="shared" ca="1" si="26"/>
        <v>Wi-Fi-enabled wall switch for remote operation</v>
      </c>
      <c r="Z43" t="str" cm="1">
        <f t="array" aca="1" ref="Z43" ca="1">INDEX($D$2:$D$101,RANDBETWEEN(1,ROWS(Z44:Z142)))</f>
        <v>Smart Doorbell</v>
      </c>
      <c r="AA43" t="str">
        <f t="shared" ca="1" si="27"/>
        <v>Wi-Fi-enabled doorbell with camera and intercom</v>
      </c>
      <c r="AB43" t="str" cm="1">
        <f t="array" aca="1" ref="AB43" ca="1">INDEX($D$2:$D$101,RANDBETWEEN(1,ROWS(AB44:AB142)))</f>
        <v>Digital Multimeter</v>
      </c>
      <c r="AC43" t="str">
        <f t="shared" ca="1" si="28"/>
        <v>Measures voltage, current, resistance</v>
      </c>
      <c r="AD43" t="str" cm="1">
        <f t="array" aca="1" ref="AD43" ca="1">INDEX($D$2:$D$101,RANDBETWEEN(1,ROWS(AD44:AD142)))</f>
        <v>Room Heater</v>
      </c>
      <c r="AE43" t="str">
        <f t="shared" ca="1" si="29"/>
        <v>Electric heater for indoor heating</v>
      </c>
      <c r="AF43" t="str" cm="1">
        <f t="array" aca="1" ref="AF43" ca="1">INDEX($D$2:$D$101,RANDBETWEEN(1,ROWS(AF44:AF142)))</f>
        <v>Pancake Maker</v>
      </c>
      <c r="AG43" t="str">
        <f t="shared" ca="1" si="30"/>
        <v>Easy tool for making pancakes</v>
      </c>
      <c r="AH43" t="str" cm="1">
        <f t="array" aca="1" ref="AH43" ca="1">INDEX($D$2:$D$101,RANDBETWEEN(1,ROWS(AH44:AH142)))</f>
        <v>Motion Sensor Light</v>
      </c>
      <c r="AI43" t="str">
        <f t="shared" ca="1" si="31"/>
        <v>Lights that activate on movement</v>
      </c>
      <c r="AJ43" t="str" cm="1">
        <f t="array" aca="1" ref="AJ43" ca="1">INDEX($D$2:$D$101,RANDBETWEEN(1,ROWS(AJ44:AJ142)))</f>
        <v>Rechargeable Torch</v>
      </c>
      <c r="AK43" t="str">
        <f t="shared" ca="1" si="35"/>
        <v>Flashlight that can be recharged</v>
      </c>
      <c r="AL43" t="str" cm="1">
        <f t="array" aca="1" ref="AL43" ca="1">INDEX($D$2:$D$101,RANDBETWEEN(1,ROWS(AL44:AL142)))</f>
        <v>Indoor Thermometer</v>
      </c>
      <c r="AM43" t="str">
        <f t="shared" ca="1" si="32"/>
        <v>Displays indoor temperature</v>
      </c>
      <c r="AN43" t="str" cm="1">
        <f t="array" aca="1" ref="AN43" ca="1">INDEX($D$2:$D$101,RANDBETWEEN(1,ROWS(AN44:AN142)))</f>
        <v>Smart Energy Monitor</v>
      </c>
      <c r="AO43" t="str">
        <f t="shared" ca="1" si="33"/>
        <v>Tracks power consumption in real-time</v>
      </c>
      <c r="AP43" t="str" cm="1">
        <f t="array" aca="1" ref="AP43" ca="1">INDEX($D$2:$D$101,RANDBETWEEN(1,ROWS(AP44:AP142)))</f>
        <v>Meat Grinder</v>
      </c>
      <c r="AQ43" t="str">
        <f t="shared" ca="1" si="34"/>
        <v>Grinds meat for home cooking</v>
      </c>
    </row>
    <row r="44" spans="1:43" ht="20.5" customHeight="1" x14ac:dyDescent="0.3">
      <c r="A44" s="22">
        <v>143</v>
      </c>
      <c r="B44" t="s">
        <v>360</v>
      </c>
      <c r="C44" t="s">
        <v>146</v>
      </c>
      <c r="D44" s="1" t="s">
        <v>147</v>
      </c>
      <c r="E44" s="1" t="s">
        <v>148</v>
      </c>
      <c r="F44" t="str" cm="1">
        <f t="array" aca="1" ref="F44" ca="1">INDEX($D$2:$D$101,RANDBETWEEN(1,ROWS(F45:F143)))</f>
        <v>Motion Detector</v>
      </c>
      <c r="G44" t="str">
        <f t="shared" ca="1" si="0"/>
        <v>Triggers alarm or light on motion detection</v>
      </c>
      <c r="H44" t="str" cm="1">
        <f t="array" aca="1" ref="H44" ca="1">INDEX($D$2:$D$101,RANDBETWEEN(1,ROWS(H45:H143)))</f>
        <v>Extension Board with USB</v>
      </c>
      <c r="I44" t="str">
        <f t="shared" ca="1" si="18"/>
        <v>Power strip with USB charging ports</v>
      </c>
      <c r="J44" t="str" cm="1">
        <f t="array" aca="1" ref="J44" ca="1">INDEX($D$2:$D$101,RANDBETWEEN(1,ROWS(J45:J143)))</f>
        <v>Heated Eyelash Curler</v>
      </c>
      <c r="K44" t="str">
        <f t="shared" ca="1" si="19"/>
        <v>Shapes eyelashes with gentle heat</v>
      </c>
      <c r="L44" t="str" cm="1">
        <f t="array" aca="1" ref="L44" ca="1">INDEX($D$2:$D$101,RANDBETWEEN(1,ROWS(L45:L143)))</f>
        <v>Inverter AC</v>
      </c>
      <c r="M44" t="str">
        <f t="shared" ca="1" si="20"/>
        <v>Energy-efficient air conditioner</v>
      </c>
      <c r="N44" t="str" cm="1">
        <f t="array" aca="1" ref="N44" ca="1">INDEX($D$2:$D$101,RANDBETWEEN(1,ROWS(N45:N143)))</f>
        <v>USB-C Docking Station</v>
      </c>
      <c r="O44" t="str">
        <f t="shared" ca="1" si="21"/>
        <v>Expands ports for laptops</v>
      </c>
      <c r="P44" t="str" cm="1">
        <f t="array" aca="1" ref="P44" ca="1">INDEX($D$2:$D$101,RANDBETWEEN(1,ROWS(P45:P143)))</f>
        <v>Portable Induction Stove</v>
      </c>
      <c r="Q44" t="str">
        <f t="shared" ca="1" si="22"/>
        <v>Lightweight induction stove for mobile cooking</v>
      </c>
      <c r="R44" t="str" cm="1">
        <f t="array" aca="1" ref="R44" ca="1">INDEX($D$2:$D$101,RANDBETWEEN(1,ROWS(R45:R143)))</f>
        <v>Roti Maker</v>
      </c>
      <c r="S44" t="str">
        <f t="shared" ca="1" si="23"/>
        <v>Flattens and cooks Indian flatbreads</v>
      </c>
      <c r="T44" t="str" cm="1">
        <f t="array" aca="1" ref="T44" ca="1">INDEX($D$2:$D$101,RANDBETWEEN(1,ROWS(T45:T143)))</f>
        <v>Hygrometer</v>
      </c>
      <c r="U44" t="str">
        <f t="shared" ca="1" si="24"/>
        <v>Measures indoor humidity levels</v>
      </c>
      <c r="V44" t="str" cm="1">
        <f t="array" aca="1" ref="V44" ca="1">INDEX($D$2:$D$101,RANDBETWEEN(1,ROWS(V45:V143)))</f>
        <v>Smart Rearview Mirror</v>
      </c>
      <c r="W44" t="str">
        <f t="shared" ca="1" si="25"/>
        <v>Touchscreen mirror with GPS and camera</v>
      </c>
      <c r="X44" t="str" cm="1">
        <f t="array" aca="1" ref="X44" ca="1">INDEX($D$2:$D$101,RANDBETWEEN(1,ROWS(X45:X143)))</f>
        <v>Electric Egg Beater</v>
      </c>
      <c r="Y44" t="str">
        <f t="shared" ca="1" si="26"/>
        <v>Handheld electric whisk for baking</v>
      </c>
      <c r="Z44" t="str" cm="1">
        <f t="array" aca="1" ref="Z44" ca="1">INDEX($D$2:$D$101,RANDBETWEEN(1,ROWS(Z45:Z143)))</f>
        <v>Indoor Thermometer</v>
      </c>
      <c r="AA44" t="str">
        <f t="shared" ca="1" si="27"/>
        <v>Displays indoor temperature</v>
      </c>
      <c r="AB44" t="str" cm="1">
        <f t="array" aca="1" ref="AB44" ca="1">INDEX($D$2:$D$101,RANDBETWEEN(1,ROWS(AB45:AB143)))</f>
        <v>Water Dispenser</v>
      </c>
      <c r="AC44" t="str">
        <f t="shared" ca="1" si="28"/>
        <v>Dispenses hot and cold water</v>
      </c>
      <c r="AD44" t="str" cm="1">
        <f t="array" aca="1" ref="AD44" ca="1">INDEX($D$2:$D$101,RANDBETWEEN(1,ROWS(AD45:AD143)))</f>
        <v>Bluetooth Transmitter</v>
      </c>
      <c r="AE44" t="str">
        <f t="shared" ca="1" si="29"/>
        <v>Sends audio to Bluetooth devices</v>
      </c>
      <c r="AF44" t="str" cm="1">
        <f t="array" aca="1" ref="AF44" ca="1">INDEX($D$2:$D$101,RANDBETWEEN(1,ROWS(AF45:AF143)))</f>
        <v>Portable Power Station</v>
      </c>
      <c r="AG44" t="str">
        <f t="shared" ca="1" si="30"/>
        <v>Rechargeable power supply for outdoors</v>
      </c>
      <c r="AH44" t="str" cm="1">
        <f t="array" aca="1" ref="AH44" ca="1">INDEX($D$2:$D$101,RANDBETWEEN(1,ROWS(AH45:AH143)))</f>
        <v>Motion Sensor Light</v>
      </c>
      <c r="AI44" t="str">
        <f t="shared" ca="1" si="31"/>
        <v>Lights that activate on movement</v>
      </c>
      <c r="AJ44" t="str" cm="1">
        <f t="array" aca="1" ref="AJ44" ca="1">INDEX($D$2:$D$101,RANDBETWEEN(1,ROWS(AJ45:AJ143)))</f>
        <v>Wall-Mounted Fan</v>
      </c>
      <c r="AK44" t="str">
        <f t="shared" ca="1" si="35"/>
        <v>Space-saving fan for wall mounting</v>
      </c>
      <c r="AL44" t="str" cm="1">
        <f t="array" aca="1" ref="AL44" ca="1">INDEX($D$2:$D$101,RANDBETWEEN(1,ROWS(AL45:AL143)))</f>
        <v>Room Heater</v>
      </c>
      <c r="AM44" t="str">
        <f t="shared" ca="1" si="32"/>
        <v>Electric heater for indoor heating</v>
      </c>
      <c r="AN44" t="str" cm="1">
        <f t="array" aca="1" ref="AN44" ca="1">INDEX($D$2:$D$101,RANDBETWEEN(1,ROWS(AN45:AN143)))</f>
        <v>Pedestal Fan</v>
      </c>
      <c r="AO44" t="str">
        <f t="shared" ca="1" si="33"/>
        <v>Adjustable stand fan for personal cooling</v>
      </c>
      <c r="AP44" t="str" cm="1">
        <f t="array" aca="1" ref="AP44" ca="1">INDEX($D$2:$D$101,RANDBETWEEN(1,ROWS(AP45:AP143)))</f>
        <v>Waffle Maker</v>
      </c>
      <c r="AQ44" t="str">
        <f t="shared" ca="1" si="34"/>
        <v>Makes waffles at home</v>
      </c>
    </row>
    <row r="45" spans="1:43" ht="20.5" customHeight="1" x14ac:dyDescent="0.3">
      <c r="A45" s="22">
        <v>144</v>
      </c>
      <c r="B45" t="s">
        <v>361</v>
      </c>
      <c r="C45" t="s">
        <v>149</v>
      </c>
      <c r="D45" s="1" t="s">
        <v>150</v>
      </c>
      <c r="E45" s="1" t="s">
        <v>151</v>
      </c>
      <c r="F45" t="str" cm="1">
        <f t="array" aca="1" ref="F45" ca="1">INDEX($D$2:$D$101,RANDBETWEEN(1,ROWS(F46:F144)))</f>
        <v>Smart Weighing Scale</v>
      </c>
      <c r="G45" t="str">
        <f t="shared" ca="1" si="0"/>
        <v>Body scale with app sync and health data</v>
      </c>
      <c r="H45" t="str" cm="1">
        <f t="array" aca="1" ref="H45" ca="1">INDEX($D$2:$D$101,RANDBETWEEN(1,ROWS(H46:H144)))</f>
        <v>Smart Rearview Mirror</v>
      </c>
      <c r="I45" t="str">
        <f t="shared" ca="1" si="18"/>
        <v>Touchscreen mirror with GPS and camera</v>
      </c>
      <c r="J45" t="str" cm="1">
        <f t="array" aca="1" ref="J45" ca="1">INDEX($D$2:$D$101,RANDBETWEEN(1,ROWS(J46:J144)))</f>
        <v>Hygrometer</v>
      </c>
      <c r="K45" t="str">
        <f t="shared" ca="1" si="19"/>
        <v>Measures indoor humidity levels</v>
      </c>
      <c r="L45" t="str" cm="1">
        <f t="array" aca="1" ref="L45" ca="1">INDEX($D$2:$D$101,RANDBETWEEN(1,ROWS(L46:L144)))</f>
        <v>UV Sterilizer Box</v>
      </c>
      <c r="M45" t="str">
        <f t="shared" ca="1" si="20"/>
        <v>Disinfects small items using UV light</v>
      </c>
      <c r="N45" t="str" cm="1">
        <f t="array" aca="1" ref="N45" ca="1">INDEX($D$2:$D$101,RANDBETWEEN(1,ROWS(N46:N144)))</f>
        <v>Waffle Maker</v>
      </c>
      <c r="O45" t="str">
        <f t="shared" ca="1" si="21"/>
        <v>Makes waffles at home</v>
      </c>
      <c r="P45" t="str" cm="1">
        <f t="array" aca="1" ref="P45" ca="1">INDEX($D$2:$D$101,RANDBETWEEN(1,ROWS(P46:P144)))</f>
        <v>Motion Detector</v>
      </c>
      <c r="Q45" t="str">
        <f t="shared" ca="1" si="22"/>
        <v>Triggers alarm or light on motion detection</v>
      </c>
      <c r="R45" t="str" cm="1">
        <f t="array" aca="1" ref="R45" ca="1">INDEX($D$2:$D$101,RANDBETWEEN(1,ROWS(R46:R144)))</f>
        <v>Chimney Hood</v>
      </c>
      <c r="S45" t="str">
        <f t="shared" ca="1" si="23"/>
        <v>Kitchen exhaust for smoke and fumes</v>
      </c>
      <c r="T45" t="str" cm="1">
        <f t="array" aca="1" ref="T45" ca="1">INDEX($D$2:$D$101,RANDBETWEEN(1,ROWS(T46:T144)))</f>
        <v>Gas Leak Detector</v>
      </c>
      <c r="U45" t="str">
        <f t="shared" ca="1" si="24"/>
        <v>Detects gas leaks in the kitchen</v>
      </c>
      <c r="V45" t="str" cm="1">
        <f t="array" aca="1" ref="V45" ca="1">INDEX($D$2:$D$101,RANDBETWEEN(1,ROWS(V46:V144)))</f>
        <v>Hair Removal Epilator</v>
      </c>
      <c r="W45" t="str">
        <f t="shared" ca="1" si="25"/>
        <v>Plucks hair from root electrically</v>
      </c>
      <c r="X45" t="str" cm="1">
        <f t="array" aca="1" ref="X45" ca="1">INDEX($D$2:$D$101,RANDBETWEEN(1,ROWS(X46:X144)))</f>
        <v>Milk Frother</v>
      </c>
      <c r="Y45" t="str">
        <f t="shared" ca="1" si="26"/>
        <v>Froths milk for lattes and cappuccinos</v>
      </c>
      <c r="Z45" t="str" cm="1">
        <f t="array" aca="1" ref="Z45" ca="1">INDEX($D$2:$D$101,RANDBETWEEN(1,ROWS(Z46:Z144)))</f>
        <v>Indoor Thermometer</v>
      </c>
      <c r="AA45" t="str">
        <f t="shared" ca="1" si="27"/>
        <v>Displays indoor temperature</v>
      </c>
      <c r="AB45" t="str" cm="1">
        <f t="array" aca="1" ref="AB45" ca="1">INDEX($D$2:$D$101,RANDBETWEEN(1,ROWS(AB46:AB144)))</f>
        <v>Yogurt Maker</v>
      </c>
      <c r="AC45" t="str">
        <f t="shared" ca="1" si="28"/>
        <v>Home appliance for making yogurt</v>
      </c>
      <c r="AD45" t="str" cm="1">
        <f t="array" aca="1" ref="AD45" ca="1">INDEX($D$2:$D$101,RANDBETWEEN(1,ROWS(AD46:AD144)))</f>
        <v>Callus Remover</v>
      </c>
      <c r="AE45" t="str">
        <f t="shared" ca="1" si="29"/>
        <v>Removes dead skin from feet</v>
      </c>
      <c r="AF45" t="str" cm="1">
        <f t="array" aca="1" ref="AF45" ca="1">INDEX($D$2:$D$101,RANDBETWEEN(1,ROWS(AF46:AF144)))</f>
        <v>Smart Car Charger</v>
      </c>
      <c r="AG45" t="str">
        <f t="shared" ca="1" si="30"/>
        <v>USB charger with smart protection features</v>
      </c>
      <c r="AH45" t="str" cm="1">
        <f t="array" aca="1" ref="AH45" ca="1">INDEX($D$2:$D$101,RANDBETWEEN(1,ROWS(AH46:AH144)))</f>
        <v>Espresso Machine</v>
      </c>
      <c r="AI45" t="str">
        <f t="shared" ca="1" si="31"/>
        <v>Makes espresso coffee drinks</v>
      </c>
      <c r="AJ45" t="str" cm="1">
        <f t="array" aca="1" ref="AJ45" ca="1">INDEX($D$2:$D$101,RANDBETWEEN(1,ROWS(AJ46:AJ144)))</f>
        <v>Mosquito Killer Lamp</v>
      </c>
      <c r="AK45" t="str">
        <f t="shared" ca="1" si="35"/>
        <v>Electric trap for mosquitoes</v>
      </c>
      <c r="AL45" t="str" cm="1">
        <f t="array" aca="1" ref="AL45" ca="1">INDEX($D$2:$D$101,RANDBETWEEN(1,ROWS(AL46:AL144)))</f>
        <v>Kitchen Timer</v>
      </c>
      <c r="AM45" t="str">
        <f t="shared" ca="1" si="32"/>
        <v>Digital countdown timer for cooking</v>
      </c>
      <c r="AN45" t="str" cm="1">
        <f t="array" aca="1" ref="AN45" ca="1">INDEX($D$2:$D$101,RANDBETWEEN(1,ROWS(AN46:AN144)))</f>
        <v>Personal Neck Fan</v>
      </c>
      <c r="AO45" t="str">
        <f t="shared" ca="1" si="33"/>
        <v>Wearable fan for hands-free cooling</v>
      </c>
      <c r="AP45" t="str" cm="1">
        <f t="array" aca="1" ref="AP45" ca="1">INDEX($D$2:$D$101,RANDBETWEEN(1,ROWS(AP46:AP144)))</f>
        <v>Portable Induction Stove</v>
      </c>
      <c r="AQ45" t="str">
        <f t="shared" ca="1" si="34"/>
        <v>Lightweight induction stove for mobile cooking</v>
      </c>
    </row>
    <row r="46" spans="1:43" ht="20.5" customHeight="1" x14ac:dyDescent="0.3">
      <c r="A46" s="22">
        <v>145</v>
      </c>
      <c r="B46" t="s">
        <v>362</v>
      </c>
      <c r="C46" t="s">
        <v>152</v>
      </c>
      <c r="D46" s="1" t="s">
        <v>153</v>
      </c>
      <c r="E46" s="1" t="s">
        <v>154</v>
      </c>
      <c r="F46" t="str" cm="1">
        <f t="array" aca="1" ref="F46" ca="1">INDEX($D$2:$D$101,RANDBETWEEN(1,ROWS(F47:F145)))</f>
        <v>Kitchen Timer</v>
      </c>
      <c r="G46" t="str">
        <f t="shared" ca="1" si="0"/>
        <v>Digital countdown timer for cooking</v>
      </c>
      <c r="H46" t="str" cm="1">
        <f t="array" aca="1" ref="H46" ca="1">INDEX($D$2:$D$101,RANDBETWEEN(1,ROWS(H47:H145)))</f>
        <v>Portable Induction Stove</v>
      </c>
      <c r="I46" t="str">
        <f t="shared" ca="1" si="18"/>
        <v>Lightweight induction stove for mobile cooking</v>
      </c>
      <c r="J46" t="str" cm="1">
        <f t="array" aca="1" ref="J46" ca="1">INDEX($D$2:$D$101,RANDBETWEEN(1,ROWS(J47:J145)))</f>
        <v>Facial Steamer</v>
      </c>
      <c r="K46" t="str">
        <f t="shared" ca="1" si="19"/>
        <v>Opens pores for skincare routine</v>
      </c>
      <c r="L46" t="str" cm="1">
        <f t="array" aca="1" ref="L46" ca="1">INDEX($D$2:$D$101,RANDBETWEEN(1,ROWS(L47:L145)))</f>
        <v>Ultrasonic Skin Cleaner</v>
      </c>
      <c r="M46" t="str">
        <f t="shared" ca="1" si="20"/>
        <v>Deep cleans skin using ultrasonic waves</v>
      </c>
      <c r="N46" t="str" cm="1">
        <f t="array" aca="1" ref="N46" ca="1">INDEX($D$2:$D$101,RANDBETWEEN(1,ROWS(N47:N145)))</f>
        <v>Inverter AC</v>
      </c>
      <c r="O46" t="str">
        <f t="shared" ca="1" si="21"/>
        <v>Energy-efficient air conditioner</v>
      </c>
      <c r="P46" t="str" cm="1">
        <f t="array" aca="1" ref="P46" ca="1">INDEX($D$2:$D$101,RANDBETWEEN(1,ROWS(P47:P145)))</f>
        <v>Bluetooth Transmitter</v>
      </c>
      <c r="Q46" t="str">
        <f t="shared" ca="1" si="22"/>
        <v>Sends audio to Bluetooth devices</v>
      </c>
      <c r="R46" t="str" cm="1">
        <f t="array" aca="1" ref="R46" ca="1">INDEX($D$2:$D$101,RANDBETWEEN(1,ROWS(R47:R145)))</f>
        <v>Inverter AC</v>
      </c>
      <c r="S46" t="str">
        <f t="shared" ca="1" si="23"/>
        <v>Energy-efficient air conditioner</v>
      </c>
      <c r="T46" t="str" cm="1">
        <f t="array" aca="1" ref="T46" ca="1">INDEX($D$2:$D$101,RANDBETWEEN(1,ROWS(T47:T145)))</f>
        <v>Smart Geyser</v>
      </c>
      <c r="U46" t="str">
        <f t="shared" ca="1" si="24"/>
        <v>Internet-connected water heater</v>
      </c>
      <c r="V46" t="str" cm="1">
        <f t="array" aca="1" ref="V46" ca="1">INDEX($D$2:$D$101,RANDBETWEEN(1,ROWS(V47:V145)))</f>
        <v>Gas Leak Detector</v>
      </c>
      <c r="W46" t="str">
        <f t="shared" ca="1" si="25"/>
        <v>Detects gas leaks in the kitchen</v>
      </c>
      <c r="X46" t="str" cm="1">
        <f t="array" aca="1" ref="X46" ca="1">INDEX($D$2:$D$101,RANDBETWEEN(1,ROWS(X47:X145)))</f>
        <v>Crepe Maker</v>
      </c>
      <c r="Y46" t="str">
        <f t="shared" ca="1" si="26"/>
        <v>Electric pan for making crepes</v>
      </c>
      <c r="Z46" t="str" cm="1">
        <f t="array" aca="1" ref="Z46" ca="1">INDEX($D$2:$D$101,RANDBETWEEN(1,ROWS(Z47:Z145)))</f>
        <v>Smart IR Remote</v>
      </c>
      <c r="AA46" t="str">
        <f t="shared" ca="1" si="27"/>
        <v>Controls appliances via smartphone</v>
      </c>
      <c r="AB46" t="str" cm="1">
        <f t="array" aca="1" ref="AB46" ca="1">INDEX($D$2:$D$101,RANDBETWEEN(1,ROWS(AB47:AB145)))</f>
        <v>Smart Air Conditioner</v>
      </c>
      <c r="AC46" t="str">
        <f t="shared" ca="1" si="28"/>
        <v>AC unit controllable via smartphone or voice</v>
      </c>
      <c r="AD46" t="str" cm="1">
        <f t="array" aca="1" ref="AD46" ca="1">INDEX($D$2:$D$101,RANDBETWEEN(1,ROWS(AD47:AD145)))</f>
        <v>Smart IR Remote</v>
      </c>
      <c r="AE46" t="str">
        <f t="shared" ca="1" si="29"/>
        <v>Controls appliances via smartphone</v>
      </c>
      <c r="AF46" t="str" cm="1">
        <f t="array" aca="1" ref="AF46" ca="1">INDEX($D$2:$D$101,RANDBETWEEN(1,ROWS(AF47:AF145)))</f>
        <v>Gas Leak Detector</v>
      </c>
      <c r="AG46" t="str">
        <f t="shared" ca="1" si="30"/>
        <v>Detects gas leaks in the kitchen</v>
      </c>
      <c r="AH46" t="str" cm="1">
        <f t="array" aca="1" ref="AH46" ca="1">INDEX($D$2:$D$101,RANDBETWEEN(1,ROWS(AH47:AH145)))</f>
        <v>Indoor Thermometer</v>
      </c>
      <c r="AI46" t="str">
        <f t="shared" ca="1" si="31"/>
        <v>Displays indoor temperature</v>
      </c>
      <c r="AJ46" t="str" cm="1">
        <f t="array" aca="1" ref="AJ46" ca="1">INDEX($D$2:$D$101,RANDBETWEEN(1,ROWS(AJ47:AJ145)))</f>
        <v>Wi-Fi Range Extender</v>
      </c>
      <c r="AK46" t="str">
        <f t="shared" ca="1" si="35"/>
        <v>Boosts home Wi-Fi signal</v>
      </c>
      <c r="AL46" t="str" cm="1">
        <f t="array" aca="1" ref="AL46" ca="1">INDEX($D$2:$D$101,RANDBETWEEN(1,ROWS(AL47:AL145)))</f>
        <v>Smart Geyser</v>
      </c>
      <c r="AM46" t="str">
        <f t="shared" ca="1" si="32"/>
        <v>Internet-connected water heater</v>
      </c>
      <c r="AN46" t="str" cm="1">
        <f t="array" aca="1" ref="AN46" ca="1">INDEX($D$2:$D$101,RANDBETWEEN(1,ROWS(AN47:AN145)))</f>
        <v>Mosquito Killer Lamp</v>
      </c>
      <c r="AO46" t="str">
        <f t="shared" ca="1" si="33"/>
        <v>Electric trap for mosquitoes</v>
      </c>
      <c r="AP46" t="str" cm="1">
        <f t="array" aca="1" ref="AP46" ca="1">INDEX($D$2:$D$101,RANDBETWEEN(1,ROWS(AP47:AP145)))</f>
        <v>Smart Ceiling Light</v>
      </c>
      <c r="AQ46" t="str">
        <f t="shared" ca="1" si="34"/>
        <v>Wi-Fi-enabled, color-changing ceiling light</v>
      </c>
    </row>
    <row r="47" spans="1:43" ht="20.5" customHeight="1" x14ac:dyDescent="0.3">
      <c r="A47" s="22">
        <v>146</v>
      </c>
      <c r="B47" t="s">
        <v>363</v>
      </c>
      <c r="C47" t="s">
        <v>155</v>
      </c>
      <c r="D47" s="1" t="s">
        <v>156</v>
      </c>
      <c r="E47" s="1" t="s">
        <v>157</v>
      </c>
      <c r="F47" t="str" cm="1">
        <f t="array" aca="1" ref="F47" ca="1">INDEX($D$2:$D$101,RANDBETWEEN(1,ROWS(F48:F146)))</f>
        <v>Subwoofer</v>
      </c>
      <c r="G47" t="str">
        <f t="shared" ca="1" si="0"/>
        <v>Deep bass audio speaker</v>
      </c>
      <c r="H47" t="str" cm="1">
        <f t="array" aca="1" ref="H47" ca="1">INDEX($D$2:$D$101,RANDBETWEEN(1,ROWS(H48:H146)))</f>
        <v>Mesh Wi-Fi System</v>
      </c>
      <c r="I47" t="str">
        <f t="shared" ca="1" si="18"/>
        <v>Whole-home wireless coverage</v>
      </c>
      <c r="J47" t="str" cm="1">
        <f t="array" aca="1" ref="J47" ca="1">INDEX($D$2:$D$101,RANDBETWEEN(1,ROWS(J48:J146)))</f>
        <v>Smart Rearview Mirror</v>
      </c>
      <c r="K47" t="str">
        <f t="shared" ca="1" si="19"/>
        <v>Touchscreen mirror with GPS and camera</v>
      </c>
      <c r="L47" t="str" cm="1">
        <f t="array" aca="1" ref="L47" ca="1">INDEX($D$2:$D$101,RANDBETWEEN(1,ROWS(L48:L146)))</f>
        <v>Laptop Stand</v>
      </c>
      <c r="M47" t="str">
        <f t="shared" ca="1" si="20"/>
        <v>Raises laptop for ergonomic use</v>
      </c>
      <c r="N47" t="str" cm="1">
        <f t="array" aca="1" ref="N47" ca="1">INDEX($D$2:$D$101,RANDBETWEEN(1,ROWS(N48:N146)))</f>
        <v>Water Dispenser</v>
      </c>
      <c r="O47" t="str">
        <f t="shared" ca="1" si="21"/>
        <v>Dispenses hot and cold water</v>
      </c>
      <c r="P47" t="str" cm="1">
        <f t="array" aca="1" ref="P47" ca="1">INDEX($D$2:$D$101,RANDBETWEEN(1,ROWS(P48:P146)))</f>
        <v>Cold Press Juicer</v>
      </c>
      <c r="Q47" t="str">
        <f t="shared" ca="1" si="22"/>
        <v>Slow juicer for better nutrient retention</v>
      </c>
      <c r="R47" t="str" cm="1">
        <f t="array" aca="1" ref="R47" ca="1">INDEX($D$2:$D$101,RANDBETWEEN(1,ROWS(R48:R146)))</f>
        <v>Chimney Hood</v>
      </c>
      <c r="S47" t="str">
        <f t="shared" ca="1" si="23"/>
        <v>Kitchen exhaust for smoke and fumes</v>
      </c>
      <c r="T47" t="str" cm="1">
        <f t="array" aca="1" ref="T47" ca="1">INDEX($D$2:$D$101,RANDBETWEEN(1,ROWS(T48:T146)))</f>
        <v>Car Air Purifier</v>
      </c>
      <c r="U47" t="str">
        <f t="shared" ca="1" si="24"/>
        <v>Filters air inside vehicles</v>
      </c>
      <c r="V47" t="str" cm="1">
        <f t="array" aca="1" ref="V47" ca="1">INDEX($D$2:$D$101,RANDBETWEEN(1,ROWS(V48:V146)))</f>
        <v>Car Air Purifier</v>
      </c>
      <c r="W47" t="str">
        <f t="shared" ca="1" si="25"/>
        <v>Filters air inside vehicles</v>
      </c>
      <c r="X47" t="str" cm="1">
        <f t="array" aca="1" ref="X47" ca="1">INDEX($D$2:$D$101,RANDBETWEEN(1,ROWS(X48:X146)))</f>
        <v>Gas Leak Detector</v>
      </c>
      <c r="Y47" t="str">
        <f t="shared" ca="1" si="26"/>
        <v>Detects gas leaks in the kitchen</v>
      </c>
      <c r="Z47" t="str" cm="1">
        <f t="array" aca="1" ref="Z47" ca="1">INDEX($D$2:$D$101,RANDBETWEEN(1,ROWS(Z48:Z146)))</f>
        <v>Cord Organizer Box</v>
      </c>
      <c r="AA47" t="str">
        <f t="shared" ca="1" si="27"/>
        <v>Box to hide and manage power strips</v>
      </c>
      <c r="AB47" t="str" cm="1">
        <f t="array" aca="1" ref="AB47" ca="1">INDEX($D$2:$D$101,RANDBETWEEN(1,ROWS(AB48:AB146)))</f>
        <v>Hygrometer</v>
      </c>
      <c r="AC47" t="str">
        <f t="shared" ca="1" si="28"/>
        <v>Measures indoor humidity levels</v>
      </c>
      <c r="AD47" t="str" cm="1">
        <f t="array" aca="1" ref="AD47" ca="1">INDEX($D$2:$D$101,RANDBETWEEN(1,ROWS(AD48:AD146)))</f>
        <v>Smart Energy Monitor</v>
      </c>
      <c r="AE47" t="str">
        <f t="shared" ca="1" si="29"/>
        <v>Tracks power consumption in real-time</v>
      </c>
      <c r="AF47" t="str" cm="1">
        <f t="array" aca="1" ref="AF47" ca="1">INDEX($D$2:$D$101,RANDBETWEEN(1,ROWS(AF48:AF146)))</f>
        <v>Waffle Maker</v>
      </c>
      <c r="AG47" t="str">
        <f t="shared" ca="1" si="30"/>
        <v>Makes waffles at home</v>
      </c>
      <c r="AH47" t="str" cm="1">
        <f t="array" aca="1" ref="AH47" ca="1">INDEX($D$2:$D$101,RANDBETWEEN(1,ROWS(AH48:AH146)))</f>
        <v>Smart Car Charger</v>
      </c>
      <c r="AI47" t="str">
        <f t="shared" ca="1" si="31"/>
        <v>USB charger with smart protection features</v>
      </c>
      <c r="AJ47" t="str" cm="1">
        <f t="array" aca="1" ref="AJ47" ca="1">INDEX($D$2:$D$101,RANDBETWEEN(1,ROWS(AJ48:AJ146)))</f>
        <v>Cord Organizer Box</v>
      </c>
      <c r="AK47" t="str">
        <f t="shared" ca="1" si="35"/>
        <v>Box to hide and manage power strips</v>
      </c>
      <c r="AL47" t="str" cm="1">
        <f t="array" aca="1" ref="AL47" ca="1">INDEX($D$2:$D$101,RANDBETWEEN(1,ROWS(AL48:AL146)))</f>
        <v>Smart Geyser</v>
      </c>
      <c r="AM47" t="str">
        <f t="shared" ca="1" si="32"/>
        <v>Internet-connected water heater</v>
      </c>
      <c r="AN47" t="str" cm="1">
        <f t="array" aca="1" ref="AN47" ca="1">INDEX($D$2:$D$101,RANDBETWEEN(1,ROWS(AN48:AN146)))</f>
        <v>Roti Maker</v>
      </c>
      <c r="AO47" t="str">
        <f t="shared" ca="1" si="33"/>
        <v>Flattens and cooks Indian flatbreads</v>
      </c>
      <c r="AP47" t="str" cm="1">
        <f t="array" aca="1" ref="AP47" ca="1">INDEX($D$2:$D$101,RANDBETWEEN(1,ROWS(AP48:AP146)))</f>
        <v>Magnetic Charging Cable</v>
      </c>
      <c r="AQ47" t="str">
        <f t="shared" ca="1" si="34"/>
        <v>Detachable magnetic USB cable</v>
      </c>
    </row>
    <row r="48" spans="1:43" ht="20.5" customHeight="1" x14ac:dyDescent="0.3">
      <c r="A48" s="22">
        <v>147</v>
      </c>
      <c r="B48" t="s">
        <v>364</v>
      </c>
      <c r="C48" t="s">
        <v>158</v>
      </c>
      <c r="D48" s="1" t="s">
        <v>159</v>
      </c>
      <c r="E48" s="1" t="s">
        <v>160</v>
      </c>
      <c r="F48" t="str" cm="1">
        <f t="array" aca="1" ref="F48" ca="1">INDEX($D$2:$D$101,RANDBETWEEN(1,ROWS(F49:F147)))</f>
        <v>Smart Weighing Scale</v>
      </c>
      <c r="G48" t="str">
        <f t="shared" ca="1" si="0"/>
        <v>Body scale with app sync and health data</v>
      </c>
      <c r="H48" t="str" cm="1">
        <f t="array" aca="1" ref="H48" ca="1">INDEX($D$2:$D$101,RANDBETWEEN(1,ROWS(H49:H147)))</f>
        <v>Smart Mosquito Repeller</v>
      </c>
      <c r="I48" t="str">
        <f t="shared" ca="1" si="18"/>
        <v>USB-powered electronic insect repeller</v>
      </c>
      <c r="J48" t="str" cm="1">
        <f t="array" aca="1" ref="J48" ca="1">INDEX($D$2:$D$101,RANDBETWEEN(1,ROWS(J49:J147)))</f>
        <v>Ultrasonic Skin Cleaner</v>
      </c>
      <c r="K48" t="str">
        <f t="shared" ca="1" si="19"/>
        <v>Deep cleans skin using ultrasonic waves</v>
      </c>
      <c r="L48" t="str" cm="1">
        <f t="array" aca="1" ref="L48" ca="1">INDEX($D$2:$D$101,RANDBETWEEN(1,ROWS(L49:L147)))</f>
        <v>Portable Car Heater</v>
      </c>
      <c r="M48" t="str">
        <f t="shared" ca="1" si="20"/>
        <v>12V heater for car interiors</v>
      </c>
      <c r="N48" t="str" cm="1">
        <f t="array" aca="1" ref="N48" ca="1">INDEX($D$2:$D$101,RANDBETWEEN(1,ROWS(N49:N147)))</f>
        <v>Yogurt Maker</v>
      </c>
      <c r="O48" t="str">
        <f t="shared" ca="1" si="21"/>
        <v>Home appliance for making yogurt</v>
      </c>
      <c r="P48" t="str" cm="1">
        <f t="array" aca="1" ref="P48" ca="1">INDEX($D$2:$D$101,RANDBETWEEN(1,ROWS(P49:P147)))</f>
        <v>Egg Boiler</v>
      </c>
      <c r="Q48" t="str">
        <f t="shared" ca="1" si="22"/>
        <v>Automatically boils eggs</v>
      </c>
      <c r="R48" t="str" cm="1">
        <f t="array" aca="1" ref="R48" ca="1">INDEX($D$2:$D$101,RANDBETWEEN(1,ROWS(R49:R147)))</f>
        <v>Facial Steamer</v>
      </c>
      <c r="S48" t="str">
        <f t="shared" ca="1" si="23"/>
        <v>Opens pores for skincare routine</v>
      </c>
      <c r="T48" t="str" cm="1">
        <f t="array" aca="1" ref="T48" ca="1">INDEX($D$2:$D$101,RANDBETWEEN(1,ROWS(T49:T147)))</f>
        <v>IPL Hair Removal Device</v>
      </c>
      <c r="U48" t="str">
        <f t="shared" ca="1" si="24"/>
        <v>At-home laser hair removal system</v>
      </c>
      <c r="V48" t="str" cm="1">
        <f t="array" aca="1" ref="V48" ca="1">INDEX($D$2:$D$101,RANDBETWEEN(1,ROWS(V49:V147)))</f>
        <v>Personal Neck Fan</v>
      </c>
      <c r="W48" t="str">
        <f t="shared" ca="1" si="25"/>
        <v>Wearable fan for hands-free cooling</v>
      </c>
      <c r="X48" t="str" cm="1">
        <f t="array" aca="1" ref="X48" ca="1">INDEX($D$2:$D$101,RANDBETWEEN(1,ROWS(X49:X147)))</f>
        <v>UV Toothbrush Sterilizer</v>
      </c>
      <c r="Y48" t="str">
        <f t="shared" ca="1" si="26"/>
        <v>Disinfects toothbrush using UV light</v>
      </c>
      <c r="Z48" t="str" cm="1">
        <f t="array" aca="1" ref="Z48" ca="1">INDEX($D$2:$D$101,RANDBETWEEN(1,ROWS(Z49:Z147)))</f>
        <v>Magnetic Charging Cable</v>
      </c>
      <c r="AA48" t="str">
        <f t="shared" ca="1" si="27"/>
        <v>Detachable magnetic USB cable</v>
      </c>
      <c r="AB48" t="str" cm="1">
        <f t="array" aca="1" ref="AB48" ca="1">INDEX($D$2:$D$101,RANDBETWEEN(1,ROWS(AB49:AB147)))</f>
        <v>Subwoofer</v>
      </c>
      <c r="AC48" t="str">
        <f t="shared" ca="1" si="28"/>
        <v>Deep bass audio speaker</v>
      </c>
      <c r="AD48" t="str" cm="1">
        <f t="array" aca="1" ref="AD48" ca="1">INDEX($D$2:$D$101,RANDBETWEEN(1,ROWS(AD49:AD147)))</f>
        <v>Mini Fridge</v>
      </c>
      <c r="AE48" t="str">
        <f t="shared" ca="1" si="29"/>
        <v>Compact refrigerator for beverages</v>
      </c>
      <c r="AF48" t="str" cm="1">
        <f t="array" aca="1" ref="AF48" ca="1">INDEX($D$2:$D$101,RANDBETWEEN(1,ROWS(AF49:AF147)))</f>
        <v>Portable Induction Stove</v>
      </c>
      <c r="AG48" t="str">
        <f t="shared" ca="1" si="30"/>
        <v>Lightweight induction stove for mobile cooking</v>
      </c>
      <c r="AH48" t="str" cm="1">
        <f t="array" aca="1" ref="AH48" ca="1">INDEX($D$2:$D$101,RANDBETWEEN(1,ROWS(AH49:AH147)))</f>
        <v>Ultrasonic Humidifier</v>
      </c>
      <c r="AI48" t="str">
        <f t="shared" ca="1" si="31"/>
        <v>Mist-based humidifier using ultrasonic vibrations</v>
      </c>
      <c r="AJ48" t="str" cm="1">
        <f t="array" aca="1" ref="AJ48" ca="1">INDEX($D$2:$D$101,RANDBETWEEN(1,ROWS(AJ49:AJ147)))</f>
        <v>Mini Fridge</v>
      </c>
      <c r="AK48" t="str">
        <f t="shared" ca="1" si="35"/>
        <v>Compact refrigerator for beverages</v>
      </c>
      <c r="AL48" t="str" cm="1">
        <f t="array" aca="1" ref="AL48" ca="1">INDEX($D$2:$D$101,RANDBETWEEN(1,ROWS(AL49:AL147)))</f>
        <v>Callus Remover</v>
      </c>
      <c r="AM48" t="str">
        <f t="shared" ca="1" si="32"/>
        <v>Removes dead skin from feet</v>
      </c>
      <c r="AN48" t="str" cm="1">
        <f t="array" aca="1" ref="AN48" ca="1">INDEX($D$2:$D$101,RANDBETWEEN(1,ROWS(AN49:AN147)))</f>
        <v>Smart Mosquito Repeller</v>
      </c>
      <c r="AO48" t="str">
        <f t="shared" ca="1" si="33"/>
        <v>USB-powered electronic insect repeller</v>
      </c>
      <c r="AP48" t="str" cm="1">
        <f t="array" aca="1" ref="AP48" ca="1">INDEX($D$2:$D$101,RANDBETWEEN(1,ROWS(AP49:AP147)))</f>
        <v>Mini Bluetooth Receiver</v>
      </c>
      <c r="AQ48" t="str">
        <f t="shared" ca="1" si="34"/>
        <v>Adds Bluetooth to non-Bluetooth devices</v>
      </c>
    </row>
    <row r="49" spans="1:43" ht="20.5" customHeight="1" x14ac:dyDescent="0.3">
      <c r="A49" s="22">
        <v>148</v>
      </c>
      <c r="B49" t="s">
        <v>365</v>
      </c>
      <c r="C49" t="s">
        <v>161</v>
      </c>
      <c r="D49" s="1" t="s">
        <v>162</v>
      </c>
      <c r="E49" s="1" t="s">
        <v>163</v>
      </c>
      <c r="F49" t="str" cm="1">
        <f t="array" aca="1" ref="F49" ca="1">INDEX($D$2:$D$101,RANDBETWEEN(1,ROWS(F50:F148)))</f>
        <v>Ice Maker</v>
      </c>
      <c r="G49" t="str">
        <f t="shared" ca="1" si="0"/>
        <v>Machine that produces ice cubes automatically</v>
      </c>
      <c r="H49" t="str" cm="1">
        <f t="array" aca="1" ref="H49" ca="1">INDEX($D$2:$D$101,RANDBETWEEN(1,ROWS(H50:H148)))</f>
        <v>Smart Geyser</v>
      </c>
      <c r="I49" t="str">
        <f t="shared" ca="1" si="18"/>
        <v>Internet-connected water heater</v>
      </c>
      <c r="J49" t="str" cm="1">
        <f t="array" aca="1" ref="J49" ca="1">INDEX($D$2:$D$101,RANDBETWEEN(1,ROWS(J50:J148)))</f>
        <v>Automatic Hand Sanitizer</v>
      </c>
      <c r="K49" t="str">
        <f t="shared" ca="1" si="19"/>
        <v>Touchless sanitizer dispenser</v>
      </c>
      <c r="L49" t="str" cm="1">
        <f t="array" aca="1" ref="L49" ca="1">INDEX($D$2:$D$101,RANDBETWEEN(1,ROWS(L50:L148)))</f>
        <v>Yogurt Maker</v>
      </c>
      <c r="M49" t="str">
        <f t="shared" ca="1" si="20"/>
        <v>Home appliance for making yogurt</v>
      </c>
      <c r="N49" t="str" cm="1">
        <f t="array" aca="1" ref="N49" ca="1">INDEX($D$2:$D$101,RANDBETWEEN(1,ROWS(N50:N148)))</f>
        <v>Chimney Hood</v>
      </c>
      <c r="O49" t="str">
        <f t="shared" ca="1" si="21"/>
        <v>Kitchen exhaust for smoke and fumes</v>
      </c>
      <c r="P49" t="str" cm="1">
        <f t="array" aca="1" ref="P49" ca="1">INDEX($D$2:$D$101,RANDBETWEEN(1,ROWS(P50:P148)))</f>
        <v>Kitchen Timer</v>
      </c>
      <c r="Q49" t="str">
        <f t="shared" ca="1" si="22"/>
        <v>Digital countdown timer for cooking</v>
      </c>
      <c r="R49" t="str" cm="1">
        <f t="array" aca="1" ref="R49" ca="1">INDEX($D$2:$D$101,RANDBETWEEN(1,ROWS(R50:R148)))</f>
        <v>Waffle Maker</v>
      </c>
      <c r="S49" t="str">
        <f t="shared" ca="1" si="23"/>
        <v>Makes waffles at home</v>
      </c>
      <c r="T49" t="str" cm="1">
        <f t="array" aca="1" ref="T49" ca="1">INDEX($D$2:$D$101,RANDBETWEEN(1,ROWS(T50:T148)))</f>
        <v>Ceiling Light with Fan</v>
      </c>
      <c r="U49" t="str">
        <f t="shared" ca="1" si="24"/>
        <v>Dual-function decorative ceiling light with built-in fan</v>
      </c>
      <c r="V49" t="str" cm="1">
        <f t="array" aca="1" ref="V49" ca="1">INDEX($D$2:$D$101,RANDBETWEEN(1,ROWS(V50:V148)))</f>
        <v>Mini Fridge</v>
      </c>
      <c r="W49" t="str">
        <f t="shared" ca="1" si="25"/>
        <v>Compact refrigerator for beverages</v>
      </c>
      <c r="X49" t="str" cm="1">
        <f t="array" aca="1" ref="X49" ca="1">INDEX($D$2:$D$101,RANDBETWEEN(1,ROWS(X50:X148)))</f>
        <v>Portable Car Heater</v>
      </c>
      <c r="Y49" t="str">
        <f t="shared" ca="1" si="26"/>
        <v>12V heater for car interiors</v>
      </c>
      <c r="Z49" t="str" cm="1">
        <f t="array" aca="1" ref="Z49" ca="1">INDEX($D$2:$D$101,RANDBETWEEN(1,ROWS(Z50:Z148)))</f>
        <v>Plug-in Night Light</v>
      </c>
      <c r="AA49" t="str">
        <f t="shared" ca="1" si="27"/>
        <v>Low-power night light for rooms</v>
      </c>
      <c r="AB49" t="str" cm="1">
        <f t="array" aca="1" ref="AB49" ca="1">INDEX($D$2:$D$101,RANDBETWEEN(1,ROWS(AB50:AB148)))</f>
        <v>Smart Alarm Clock</v>
      </c>
      <c r="AC49" t="str">
        <f t="shared" ca="1" si="28"/>
        <v>Alarm with smart features like weather, music, and lights</v>
      </c>
      <c r="AD49" t="str" cm="1">
        <f t="array" aca="1" ref="AD49" ca="1">INDEX($D$2:$D$101,RANDBETWEEN(1,ROWS(AD50:AD148)))</f>
        <v>Smart Switch</v>
      </c>
      <c r="AE49" t="str">
        <f t="shared" ca="1" si="29"/>
        <v>Wi-Fi-enabled wall switch for remote operation</v>
      </c>
      <c r="AF49" t="str" cm="1">
        <f t="array" aca="1" ref="AF49" ca="1">INDEX($D$2:$D$101,RANDBETWEEN(1,ROWS(AF50:AF148)))</f>
        <v>Smart Microwave</v>
      </c>
      <c r="AG49" t="str">
        <f t="shared" ca="1" si="30"/>
        <v>Microwave with voice or app control</v>
      </c>
      <c r="AH49" t="str" cm="1">
        <f t="array" aca="1" ref="AH49" ca="1">INDEX($D$2:$D$101,RANDBETWEEN(1,ROWS(AH50:AH148)))</f>
        <v>Meat Grinder</v>
      </c>
      <c r="AI49" t="str">
        <f t="shared" ca="1" si="31"/>
        <v>Grinds meat for home cooking</v>
      </c>
      <c r="AJ49" t="str" cm="1">
        <f t="array" aca="1" ref="AJ49" ca="1">INDEX($D$2:$D$101,RANDBETWEEN(1,ROWS(AJ50:AJ148)))</f>
        <v>Espresso Machine</v>
      </c>
      <c r="AK49" t="str">
        <f t="shared" ca="1" si="35"/>
        <v>Makes espresso coffee drinks</v>
      </c>
      <c r="AL49" t="str" cm="1">
        <f t="array" aca="1" ref="AL49" ca="1">INDEX($D$2:$D$101,RANDBETWEEN(1,ROWS(AL50:AL148)))</f>
        <v>Pedestal Fan</v>
      </c>
      <c r="AM49" t="str">
        <f t="shared" ca="1" si="32"/>
        <v>Adjustable stand fan for personal cooling</v>
      </c>
      <c r="AN49" t="str" cm="1">
        <f t="array" aca="1" ref="AN49" ca="1">INDEX($D$2:$D$101,RANDBETWEEN(1,ROWS(AN50:AN148)))</f>
        <v>Magnetic Charging Cable</v>
      </c>
      <c r="AO49" t="str">
        <f t="shared" ca="1" si="33"/>
        <v>Detachable magnetic USB cable</v>
      </c>
      <c r="AP49" t="str" cm="1">
        <f t="array" aca="1" ref="AP49" ca="1">INDEX($D$2:$D$101,RANDBETWEEN(1,ROWS(AP50:AP148)))</f>
        <v>Mosquito Killer Lamp</v>
      </c>
      <c r="AQ49" t="str">
        <f t="shared" ca="1" si="34"/>
        <v>Electric trap for mosquitoes</v>
      </c>
    </row>
    <row r="50" spans="1:43" ht="20.5" customHeight="1" x14ac:dyDescent="0.3">
      <c r="A50" s="22">
        <v>149</v>
      </c>
      <c r="B50" t="s">
        <v>366</v>
      </c>
      <c r="C50" t="s">
        <v>164</v>
      </c>
      <c r="D50" s="1" t="s">
        <v>165</v>
      </c>
      <c r="E50" s="1" t="s">
        <v>166</v>
      </c>
      <c r="F50" t="str" cm="1">
        <f t="array" aca="1" ref="F50" ca="1">INDEX($D$2:$D$101,RANDBETWEEN(1,ROWS(F51:F149)))</f>
        <v>Tower Fan</v>
      </c>
      <c r="G50" t="str">
        <f t="shared" ca="1" si="0"/>
        <v>Space-saving vertical fan</v>
      </c>
      <c r="H50" t="str" cm="1">
        <f t="array" aca="1" ref="H50" ca="1">INDEX($D$2:$D$101,RANDBETWEEN(1,ROWS(H51:H149)))</f>
        <v>Car Subwoofer</v>
      </c>
      <c r="I50" t="str">
        <f t="shared" ca="1" si="18"/>
        <v>Audio upgrade for car music systems</v>
      </c>
      <c r="J50" t="str" cm="1">
        <f t="array" aca="1" ref="J50" ca="1">INDEX($D$2:$D$101,RANDBETWEEN(1,ROWS(J51:J149)))</f>
        <v>Callus Remover</v>
      </c>
      <c r="K50" t="str">
        <f t="shared" ca="1" si="19"/>
        <v>Removes dead skin from feet</v>
      </c>
      <c r="L50" t="str" cm="1">
        <f t="array" aca="1" ref="L50" ca="1">INDEX($D$2:$D$101,RANDBETWEEN(1,ROWS(L51:L149)))</f>
        <v>Ice Maker</v>
      </c>
      <c r="M50" t="str">
        <f t="shared" ca="1" si="20"/>
        <v>Machine that produces ice cubes automatically</v>
      </c>
      <c r="N50" t="str" cm="1">
        <f t="array" aca="1" ref="N50" ca="1">INDEX($D$2:$D$101,RANDBETWEEN(1,ROWS(N51:N149)))</f>
        <v>Electric Facial Brush</v>
      </c>
      <c r="O50" t="str">
        <f t="shared" ca="1" si="21"/>
        <v>Cleansing brush for exfoliation</v>
      </c>
      <c r="P50" t="str" cm="1">
        <f t="array" aca="1" ref="P50" ca="1">INDEX($D$2:$D$101,RANDBETWEEN(1,ROWS(P51:P149)))</f>
        <v>Waffle Maker</v>
      </c>
      <c r="Q50" t="str">
        <f t="shared" ca="1" si="22"/>
        <v>Makes waffles at home</v>
      </c>
      <c r="R50" t="str" cm="1">
        <f t="array" aca="1" ref="R50" ca="1">INDEX($D$2:$D$101,RANDBETWEEN(1,ROWS(R51:R149)))</f>
        <v>Ultrasonic Skin Cleaner</v>
      </c>
      <c r="S50" t="str">
        <f t="shared" ca="1" si="23"/>
        <v>Deep cleans skin using ultrasonic waves</v>
      </c>
      <c r="T50" t="str" cm="1">
        <f t="array" aca="1" ref="T50" ca="1">INDEX($D$2:$D$101,RANDBETWEEN(1,ROWS(T51:T149)))</f>
        <v>Indoor Thermometer</v>
      </c>
      <c r="U50" t="str">
        <f t="shared" ca="1" si="24"/>
        <v>Displays indoor temperature</v>
      </c>
      <c r="V50" t="str" cm="1">
        <f t="array" aca="1" ref="V50" ca="1">INDEX($D$2:$D$101,RANDBETWEEN(1,ROWS(V51:V149)))</f>
        <v>Tower Fan</v>
      </c>
      <c r="W50" t="str">
        <f t="shared" ca="1" si="25"/>
        <v>Space-saving vertical fan</v>
      </c>
      <c r="X50" t="str" cm="1">
        <f t="array" aca="1" ref="X50" ca="1">INDEX($D$2:$D$101,RANDBETWEEN(1,ROWS(X51:X149)))</f>
        <v>Air Cooler</v>
      </c>
      <c r="Y50" t="str">
        <f t="shared" ca="1" si="26"/>
        <v>Evaporative cooling appliance for rooms</v>
      </c>
      <c r="Z50" t="str" cm="1">
        <f t="array" aca="1" ref="Z50" ca="1">INDEX($D$2:$D$101,RANDBETWEEN(1,ROWS(Z51:Z149)))</f>
        <v>Motion Sensor Light</v>
      </c>
      <c r="AA50" t="str">
        <f t="shared" ca="1" si="27"/>
        <v>Lights that activate on movement</v>
      </c>
      <c r="AB50" t="str" cm="1">
        <f t="array" aca="1" ref="AB50" ca="1">INDEX($D$2:$D$101,RANDBETWEEN(1,ROWS(AB51:AB149)))</f>
        <v>Inverter AC</v>
      </c>
      <c r="AC50" t="str">
        <f t="shared" ca="1" si="28"/>
        <v>Energy-efficient air conditioner</v>
      </c>
      <c r="AD50" t="str" cm="1">
        <f t="array" aca="1" ref="AD50" ca="1">INDEX($D$2:$D$101,RANDBETWEEN(1,ROWS(AD51:AD149)))</f>
        <v>UV Sterilizer Box</v>
      </c>
      <c r="AE50" t="str">
        <f t="shared" ca="1" si="29"/>
        <v>Disinfects small items using UV light</v>
      </c>
      <c r="AF50" t="str" cm="1">
        <f t="array" aca="1" ref="AF50" ca="1">INDEX($D$2:$D$101,RANDBETWEEN(1,ROWS(AF51:AF149)))</f>
        <v>HDMI Switch</v>
      </c>
      <c r="AG50" t="str">
        <f t="shared" ca="1" si="30"/>
        <v>Connects multiple HDMI devices</v>
      </c>
      <c r="AH50" t="str" cm="1">
        <f t="array" aca="1" ref="AH50" ca="1">INDEX($D$2:$D$101,RANDBETWEEN(1,ROWS(AH51:AH149)))</f>
        <v>Wi-Fi Range Extender</v>
      </c>
      <c r="AI50" t="str">
        <f t="shared" ca="1" si="31"/>
        <v>Boosts home Wi-Fi signal</v>
      </c>
      <c r="AJ50" t="str" cm="1">
        <f t="array" aca="1" ref="AJ50" ca="1">INDEX($D$2:$D$101,RANDBETWEEN(1,ROWS(AJ51:AJ149)))</f>
        <v>Bread Maker</v>
      </c>
      <c r="AK50" t="str">
        <f t="shared" ca="1" si="35"/>
        <v>Automatically bakes fresh bread</v>
      </c>
      <c r="AL50" t="str" cm="1">
        <f t="array" aca="1" ref="AL50" ca="1">INDEX($D$2:$D$101,RANDBETWEEN(1,ROWS(AL51:AL149)))</f>
        <v>Espresso Machine</v>
      </c>
      <c r="AM50" t="str">
        <f t="shared" ca="1" si="32"/>
        <v>Makes espresso coffee drinks</v>
      </c>
      <c r="AN50" t="str" cm="1">
        <f t="array" aca="1" ref="AN50" ca="1">INDEX($D$2:$D$101,RANDBETWEEN(1,ROWS(AN51:AN149)))</f>
        <v>Car Subwoofer</v>
      </c>
      <c r="AO50" t="str">
        <f t="shared" ca="1" si="33"/>
        <v>Audio upgrade for car music systems</v>
      </c>
      <c r="AP50" t="str" cm="1">
        <f t="array" aca="1" ref="AP50" ca="1">INDEX($D$2:$D$101,RANDBETWEEN(1,ROWS(AP51:AP149)))</f>
        <v>Callus Remover</v>
      </c>
      <c r="AQ50" t="str">
        <f t="shared" ca="1" si="34"/>
        <v>Removes dead skin from feet</v>
      </c>
    </row>
    <row r="51" spans="1:43" ht="20.5" customHeight="1" x14ac:dyDescent="0.3">
      <c r="A51" s="22">
        <v>150</v>
      </c>
      <c r="B51" t="s">
        <v>367</v>
      </c>
      <c r="C51" t="s">
        <v>167</v>
      </c>
      <c r="D51" s="1" t="s">
        <v>168</v>
      </c>
      <c r="E51" s="1" t="s">
        <v>169</v>
      </c>
      <c r="F51" t="str" cm="1">
        <f t="array" aca="1" ref="F51" ca="1">INDEX($D$2:$D$101,RANDBETWEEN(1,ROWS(F52:F150)))</f>
        <v>Mini Bluetooth Receiver</v>
      </c>
      <c r="G51" t="str">
        <f t="shared" ca="1" si="0"/>
        <v>Adds Bluetooth to non-Bluetooth devices</v>
      </c>
      <c r="H51" t="str" cm="1">
        <f t="array" aca="1" ref="H51" ca="1">INDEX($D$2:$D$101,RANDBETWEEN(1,ROWS(H52:H150)))</f>
        <v>Mesh Wi-Fi System</v>
      </c>
      <c r="I51" t="str">
        <f t="shared" ca="1" si="18"/>
        <v>Whole-home wireless coverage</v>
      </c>
      <c r="J51" t="str" cm="1">
        <f t="array" aca="1" ref="J51" ca="1">INDEX($D$2:$D$101,RANDBETWEEN(1,ROWS(J52:J150)))</f>
        <v>TV Wall Mount</v>
      </c>
      <c r="K51" t="str">
        <f t="shared" ca="1" si="19"/>
        <v>Mounting bracket for flat TVs</v>
      </c>
      <c r="L51" t="str" cm="1">
        <f t="array" aca="1" ref="L51" ca="1">INDEX($D$2:$D$101,RANDBETWEEN(1,ROWS(L52:L150)))</f>
        <v>Car Air Purifier</v>
      </c>
      <c r="M51" t="str">
        <f t="shared" ca="1" si="20"/>
        <v>Filters air inside vehicles</v>
      </c>
      <c r="N51" t="str" cm="1">
        <f t="array" aca="1" ref="N51" ca="1">INDEX($D$2:$D$101,RANDBETWEEN(1,ROWS(N52:N150)))</f>
        <v>Smart Mosquito Repeller</v>
      </c>
      <c r="O51" t="str">
        <f t="shared" ca="1" si="21"/>
        <v>USB-powered electronic insect repeller</v>
      </c>
      <c r="P51" t="str" cm="1">
        <f t="array" aca="1" ref="P51" ca="1">INDEX($D$2:$D$101,RANDBETWEEN(1,ROWS(P52:P150)))</f>
        <v>Motion Sensor Light</v>
      </c>
      <c r="Q51" t="str">
        <f t="shared" ca="1" si="22"/>
        <v>Lights that activate on movement</v>
      </c>
      <c r="R51" t="str" cm="1">
        <f t="array" aca="1" ref="R51" ca="1">INDEX($D$2:$D$101,RANDBETWEEN(1,ROWS(R52:R150)))</f>
        <v>Motion Detector</v>
      </c>
      <c r="S51" t="str">
        <f t="shared" ca="1" si="23"/>
        <v>Triggers alarm or light on motion detection</v>
      </c>
      <c r="T51" t="str" cm="1">
        <f t="array" aca="1" ref="T51" ca="1">INDEX($D$2:$D$101,RANDBETWEEN(1,ROWS(T52:T150)))</f>
        <v>Motion Detector</v>
      </c>
      <c r="U51" t="str">
        <f t="shared" ca="1" si="24"/>
        <v>Triggers alarm or light on motion detection</v>
      </c>
      <c r="V51" t="str" cm="1">
        <f t="array" aca="1" ref="V51" ca="1">INDEX($D$2:$D$101,RANDBETWEEN(1,ROWS(V52:V150)))</f>
        <v>Heated Eyelash Curler</v>
      </c>
      <c r="W51" t="str">
        <f t="shared" ca="1" si="25"/>
        <v>Shapes eyelashes with gentle heat</v>
      </c>
      <c r="X51" t="str" cm="1">
        <f t="array" aca="1" ref="X51" ca="1">INDEX($D$2:$D$101,RANDBETWEEN(1,ROWS(X52:X150)))</f>
        <v>Pancake Maker</v>
      </c>
      <c r="Y51" t="str">
        <f t="shared" ca="1" si="26"/>
        <v>Easy tool for making pancakes</v>
      </c>
      <c r="Z51" t="str" cm="1">
        <f t="array" aca="1" ref="Z51" ca="1">INDEX($D$2:$D$101,RANDBETWEEN(1,ROWS(Z52:Z150)))</f>
        <v>Kitchen Weighing Scale</v>
      </c>
      <c r="AA51" t="str">
        <f t="shared" ca="1" si="27"/>
        <v>Measures food portions accurately</v>
      </c>
      <c r="AB51" t="str" cm="1">
        <f t="array" aca="1" ref="AB51" ca="1">INDEX($D$2:$D$101,RANDBETWEEN(1,ROWS(AB52:AB150)))</f>
        <v>Chimney Hood</v>
      </c>
      <c r="AC51" t="str">
        <f t="shared" ca="1" si="28"/>
        <v>Kitchen exhaust for smoke and fumes</v>
      </c>
      <c r="AD51" t="str" cm="1">
        <f t="array" aca="1" ref="AD51" ca="1">INDEX($D$2:$D$101,RANDBETWEEN(1,ROWS(AD52:AD150)))</f>
        <v>Motion Detector</v>
      </c>
      <c r="AE51" t="str">
        <f t="shared" ca="1" si="29"/>
        <v>Triggers alarm or light on motion detection</v>
      </c>
      <c r="AF51" t="str" cm="1">
        <f t="array" aca="1" ref="AF51" ca="1">INDEX($D$2:$D$101,RANDBETWEEN(1,ROWS(AF52:AF150)))</f>
        <v>Electric Egg Beater</v>
      </c>
      <c r="AG51" t="str">
        <f t="shared" ca="1" si="30"/>
        <v>Handheld electric whisk for baking</v>
      </c>
      <c r="AH51" t="str" cm="1">
        <f t="array" aca="1" ref="AH51" ca="1">INDEX($D$2:$D$101,RANDBETWEEN(1,ROWS(AH52:AH150)))</f>
        <v>Callus Remover</v>
      </c>
      <c r="AI51" t="str">
        <f t="shared" ca="1" si="31"/>
        <v>Removes dead skin from feet</v>
      </c>
      <c r="AJ51" t="str" cm="1">
        <f t="array" aca="1" ref="AJ51" ca="1">INDEX($D$2:$D$101,RANDBETWEEN(1,ROWS(AJ52:AJ150)))</f>
        <v>Electric Egg Beater</v>
      </c>
      <c r="AK51" t="str">
        <f t="shared" ca="1" si="35"/>
        <v>Handheld electric whisk for baking</v>
      </c>
      <c r="AL51" t="str" cm="1">
        <f t="array" aca="1" ref="AL51" ca="1">INDEX($D$2:$D$101,RANDBETWEEN(1,ROWS(AL52:AL150)))</f>
        <v>Smart Refrigerator</v>
      </c>
      <c r="AM51" t="str">
        <f t="shared" ca="1" si="32"/>
        <v>Internet-connected fridge with touchscreen and smart controls</v>
      </c>
      <c r="AN51" t="str" cm="1">
        <f t="array" aca="1" ref="AN51" ca="1">INDEX($D$2:$D$101,RANDBETWEEN(1,ROWS(AN52:AN150)))</f>
        <v>Automatic Hand Sanitizer</v>
      </c>
      <c r="AO51" t="str">
        <f t="shared" ca="1" si="33"/>
        <v>Touchless sanitizer dispenser</v>
      </c>
      <c r="AP51" t="str" cm="1">
        <f t="array" aca="1" ref="AP51" ca="1">INDEX($D$2:$D$101,RANDBETWEEN(1,ROWS(AP52:AP150)))</f>
        <v>Smart Washing Machine</v>
      </c>
      <c r="AQ51" t="str">
        <f t="shared" ca="1" si="34"/>
        <v>Wi-Fi-enabled washer with remote control options</v>
      </c>
    </row>
    <row r="52" spans="1:43" ht="20.5" customHeight="1" x14ac:dyDescent="0.3">
      <c r="A52" s="22">
        <v>151</v>
      </c>
      <c r="B52" t="s">
        <v>368</v>
      </c>
      <c r="C52" t="s">
        <v>170</v>
      </c>
      <c r="D52" s="1" t="s">
        <v>171</v>
      </c>
      <c r="E52" s="1" t="s">
        <v>172</v>
      </c>
      <c r="F52" t="str" cm="1">
        <f t="array" aca="1" ref="F52" ca="1">INDEX($D$2:$D$101,RANDBETWEEN(1,ROWS(F53:F151)))</f>
        <v>Motion Detector</v>
      </c>
      <c r="G52" t="str">
        <f t="shared" ca="1" si="0"/>
        <v>Triggers alarm or light on motion detection</v>
      </c>
      <c r="H52" t="str" cm="1">
        <f t="array" aca="1" ref="H52" ca="1">INDEX($D$2:$D$101,RANDBETWEEN(1,ROWS(H53:H151)))</f>
        <v>Milk Frother</v>
      </c>
      <c r="I52" t="str">
        <f t="shared" ca="1" si="18"/>
        <v>Froths milk for lattes and cappuccinos</v>
      </c>
      <c r="J52" t="str" cm="1">
        <f t="array" aca="1" ref="J52" ca="1">INDEX($D$2:$D$101,RANDBETWEEN(1,ROWS(J53:J151)))</f>
        <v>Motion Sensor Light</v>
      </c>
      <c r="K52" t="str">
        <f t="shared" ca="1" si="19"/>
        <v>Lights that activate on movement</v>
      </c>
      <c r="L52" t="str" cm="1">
        <f t="array" aca="1" ref="L52" ca="1">INDEX($D$2:$D$101,RANDBETWEEN(1,ROWS(L53:L151)))</f>
        <v>Smart Switch</v>
      </c>
      <c r="M52" t="str">
        <f t="shared" ca="1" si="20"/>
        <v>Wi-Fi-enabled wall switch for remote operation</v>
      </c>
      <c r="N52" t="str" cm="1">
        <f t="array" aca="1" ref="N52" ca="1">INDEX($D$2:$D$101,RANDBETWEEN(1,ROWS(N53:N151)))</f>
        <v>Bluetooth Alarm Clock</v>
      </c>
      <c r="O52" t="str">
        <f t="shared" ca="1" si="21"/>
        <v>Combines alarm with Bluetooth speaker</v>
      </c>
      <c r="P52" t="str" cm="1">
        <f t="array" aca="1" ref="P52" ca="1">INDEX($D$2:$D$101,RANDBETWEEN(1,ROWS(P53:P151)))</f>
        <v>Ultrasonic Skin Cleaner</v>
      </c>
      <c r="Q52" t="str">
        <f t="shared" ca="1" si="22"/>
        <v>Deep cleans skin using ultrasonic waves</v>
      </c>
      <c r="R52" t="str" cm="1">
        <f t="array" aca="1" ref="R52" ca="1">INDEX($D$2:$D$101,RANDBETWEEN(1,ROWS(R53:R151)))</f>
        <v>Subwoofer</v>
      </c>
      <c r="S52" t="str">
        <f t="shared" ca="1" si="23"/>
        <v>Deep bass audio speaker</v>
      </c>
      <c r="T52" t="str" cm="1">
        <f t="array" aca="1" ref="T52" ca="1">INDEX($D$2:$D$101,RANDBETWEEN(1,ROWS(T53:T151)))</f>
        <v>Wi-Fi Range Extender</v>
      </c>
      <c r="U52" t="str">
        <f t="shared" ca="1" si="24"/>
        <v>Boosts home Wi-Fi signal</v>
      </c>
      <c r="V52" t="str" cm="1">
        <f t="array" aca="1" ref="V52" ca="1">INDEX($D$2:$D$101,RANDBETWEEN(1,ROWS(V53:V151)))</f>
        <v>Facial Steamer</v>
      </c>
      <c r="W52" t="str">
        <f t="shared" ca="1" si="25"/>
        <v>Opens pores for skincare routine</v>
      </c>
      <c r="X52" t="str" cm="1">
        <f t="array" aca="1" ref="X52" ca="1">INDEX($D$2:$D$101,RANDBETWEEN(1,ROWS(X53:X151)))</f>
        <v>Water Dispenser</v>
      </c>
      <c r="Y52" t="str">
        <f t="shared" ca="1" si="26"/>
        <v>Dispenses hot and cold water</v>
      </c>
      <c r="Z52" t="str" cm="1">
        <f t="array" aca="1" ref="Z52" ca="1">INDEX($D$2:$D$101,RANDBETWEEN(1,ROWS(Z53:Z151)))</f>
        <v>Personal Neck Fan</v>
      </c>
      <c r="AA52" t="str">
        <f t="shared" ca="1" si="27"/>
        <v>Wearable fan for hands-free cooling</v>
      </c>
      <c r="AB52" t="str" cm="1">
        <f t="array" aca="1" ref="AB52" ca="1">INDEX($D$2:$D$101,RANDBETWEEN(1,ROWS(AB53:AB151)))</f>
        <v>Plug-in Night Light</v>
      </c>
      <c r="AC52" t="str">
        <f t="shared" ca="1" si="28"/>
        <v>Low-power night light for rooms</v>
      </c>
      <c r="AD52" t="str" cm="1">
        <f t="array" aca="1" ref="AD52" ca="1">INDEX($D$2:$D$101,RANDBETWEEN(1,ROWS(AD53:AD151)))</f>
        <v>Portable Induction Stove</v>
      </c>
      <c r="AE52" t="str">
        <f t="shared" ca="1" si="29"/>
        <v>Lightweight induction stove for mobile cooking</v>
      </c>
      <c r="AF52" t="str" cm="1">
        <f t="array" aca="1" ref="AF52" ca="1">INDEX($D$2:$D$101,RANDBETWEEN(1,ROWS(AF53:AF151)))</f>
        <v>Indoor Thermometer</v>
      </c>
      <c r="AG52" t="str">
        <f t="shared" ca="1" si="30"/>
        <v>Displays indoor temperature</v>
      </c>
      <c r="AH52" t="str" cm="1">
        <f t="array" aca="1" ref="AH52" ca="1">INDEX($D$2:$D$101,RANDBETWEEN(1,ROWS(AH53:AH151)))</f>
        <v>Soundbar</v>
      </c>
      <c r="AI52" t="str">
        <f t="shared" ca="1" si="31"/>
        <v>Compact speaker bar for TVs</v>
      </c>
      <c r="AJ52" t="str" cm="1">
        <f t="array" aca="1" ref="AJ52" ca="1">INDEX($D$2:$D$101,RANDBETWEEN(1,ROWS(AJ53:AJ151)))</f>
        <v>Electric Nail File Kit</v>
      </c>
      <c r="AK52" t="str">
        <f t="shared" ca="1" si="35"/>
        <v>For manicure and pedicure at home</v>
      </c>
      <c r="AL52" t="str" cm="1">
        <f t="array" aca="1" ref="AL52" ca="1">INDEX($D$2:$D$101,RANDBETWEEN(1,ROWS(AL53:AL151)))</f>
        <v>Instant Coffee Machine</v>
      </c>
      <c r="AM52" t="str">
        <f t="shared" ca="1" si="32"/>
        <v>Brews coffee quickly and easily</v>
      </c>
      <c r="AN52" t="str" cm="1">
        <f t="array" aca="1" ref="AN52" ca="1">INDEX($D$2:$D$101,RANDBETWEEN(1,ROWS(AN53:AN151)))</f>
        <v>Electric Facial Brush</v>
      </c>
      <c r="AO52" t="str">
        <f t="shared" ca="1" si="33"/>
        <v>Cleansing brush for exfoliation</v>
      </c>
      <c r="AP52" t="str" cm="1">
        <f t="array" aca="1" ref="AP52" ca="1">INDEX($D$2:$D$101,RANDBETWEEN(1,ROWS(AP53:AP151)))</f>
        <v>Egg Boiler</v>
      </c>
      <c r="AQ52" t="str">
        <f t="shared" ca="1" si="34"/>
        <v>Automatically boils eggs</v>
      </c>
    </row>
    <row r="53" spans="1:43" ht="20.5" customHeight="1" x14ac:dyDescent="0.3">
      <c r="A53" s="22">
        <v>152</v>
      </c>
      <c r="B53" t="s">
        <v>369</v>
      </c>
      <c r="C53" t="s">
        <v>173</v>
      </c>
      <c r="D53" s="1" t="s">
        <v>174</v>
      </c>
      <c r="E53" s="1" t="s">
        <v>175</v>
      </c>
      <c r="F53" t="str" cm="1">
        <f t="array" aca="1" ref="F53" ca="1">INDEX($D$2:$D$101,RANDBETWEEN(1,ROWS(F54:F152)))</f>
        <v>Car Air Purifier</v>
      </c>
      <c r="G53" t="str">
        <f t="shared" ca="1" si="0"/>
        <v>Filters air inside vehicles</v>
      </c>
      <c r="H53" t="str" cm="1">
        <f t="array" aca="1" ref="H53" ca="1">INDEX($D$2:$D$101,RANDBETWEEN(1,ROWS(H54:H152)))</f>
        <v>Electric Chopper</v>
      </c>
      <c r="I53" t="str">
        <f t="shared" ca="1" si="18"/>
        <v>Chops vegetables and fruits quickly</v>
      </c>
      <c r="J53" t="str" cm="1">
        <f t="array" aca="1" ref="J53" ca="1">INDEX($D$2:$D$101,RANDBETWEEN(1,ROWS(J54:J152)))</f>
        <v>Hair Removal Epilator</v>
      </c>
      <c r="K53" t="str">
        <f t="shared" ca="1" si="19"/>
        <v>Plucks hair from root electrically</v>
      </c>
      <c r="L53" t="str" cm="1">
        <f t="array" aca="1" ref="L53" ca="1">INDEX($D$2:$D$101,RANDBETWEEN(1,ROWS(L54:L152)))</f>
        <v>Cold Press Juicer</v>
      </c>
      <c r="M53" t="str">
        <f t="shared" ca="1" si="20"/>
        <v>Slow juicer for better nutrient retention</v>
      </c>
      <c r="N53" t="str" cm="1">
        <f t="array" aca="1" ref="N53" ca="1">INDEX($D$2:$D$101,RANDBETWEEN(1,ROWS(N54:N152)))</f>
        <v>Portable Power Station</v>
      </c>
      <c r="O53" t="str">
        <f t="shared" ca="1" si="21"/>
        <v>Rechargeable power supply for outdoors</v>
      </c>
      <c r="P53" t="str" cm="1">
        <f t="array" aca="1" ref="P53" ca="1">INDEX($D$2:$D$101,RANDBETWEEN(1,ROWS(P54:P152)))</f>
        <v>Wall-Mounted Fan</v>
      </c>
      <c r="Q53" t="str">
        <f t="shared" ca="1" si="22"/>
        <v>Space-saving fan for wall mounting</v>
      </c>
      <c r="R53" t="str" cm="1">
        <f t="array" aca="1" ref="R53" ca="1">INDEX($D$2:$D$101,RANDBETWEEN(1,ROWS(R54:R152)))</f>
        <v>Portable Car Heater</v>
      </c>
      <c r="S53" t="str">
        <f t="shared" ca="1" si="23"/>
        <v>12V heater for car interiors</v>
      </c>
      <c r="T53" t="str" cm="1">
        <f t="array" aca="1" ref="T53" ca="1">INDEX($D$2:$D$101,RANDBETWEEN(1,ROWS(T54:T152)))</f>
        <v>Indoor Thermometer</v>
      </c>
      <c r="U53" t="str">
        <f t="shared" ca="1" si="24"/>
        <v>Displays indoor temperature</v>
      </c>
      <c r="V53" t="str" cm="1">
        <f t="array" aca="1" ref="V53" ca="1">INDEX($D$2:$D$101,RANDBETWEEN(1,ROWS(V54:V152)))</f>
        <v>Espresso Machine</v>
      </c>
      <c r="W53" t="str">
        <f t="shared" ca="1" si="25"/>
        <v>Makes espresso coffee drinks</v>
      </c>
      <c r="X53" t="str" cm="1">
        <f t="array" aca="1" ref="X53" ca="1">INDEX($D$2:$D$101,RANDBETWEEN(1,ROWS(X54:X152)))</f>
        <v>Pancake Maker</v>
      </c>
      <c r="Y53" t="str">
        <f t="shared" ca="1" si="26"/>
        <v>Easy tool for making pancakes</v>
      </c>
      <c r="Z53" t="str" cm="1">
        <f t="array" aca="1" ref="Z53" ca="1">INDEX($D$2:$D$101,RANDBETWEEN(1,ROWS(Z54:Z152)))</f>
        <v>Smart Car Charger</v>
      </c>
      <c r="AA53" t="str">
        <f t="shared" ca="1" si="27"/>
        <v>USB charger with smart protection features</v>
      </c>
      <c r="AB53" t="str" cm="1">
        <f t="array" aca="1" ref="AB53" ca="1">INDEX($D$2:$D$101,RANDBETWEEN(1,ROWS(AB54:AB152)))</f>
        <v>Smart Switch</v>
      </c>
      <c r="AC53" t="str">
        <f t="shared" ca="1" si="28"/>
        <v>Wi-Fi-enabled wall switch for remote operation</v>
      </c>
      <c r="AD53" t="str" cm="1">
        <f t="array" aca="1" ref="AD53" ca="1">INDEX($D$2:$D$101,RANDBETWEEN(1,ROWS(AD54:AD152)))</f>
        <v>Extension Board with USB</v>
      </c>
      <c r="AE53" t="str">
        <f t="shared" ca="1" si="29"/>
        <v>Power strip with USB charging ports</v>
      </c>
      <c r="AF53" t="str" cm="1">
        <f t="array" aca="1" ref="AF53" ca="1">INDEX($D$2:$D$101,RANDBETWEEN(1,ROWS(AF54:AF152)))</f>
        <v>Smart Car Charger</v>
      </c>
      <c r="AG53" t="str">
        <f t="shared" ca="1" si="30"/>
        <v>USB charger with smart protection features</v>
      </c>
      <c r="AH53" t="str" cm="1">
        <f t="array" aca="1" ref="AH53" ca="1">INDEX($D$2:$D$101,RANDBETWEEN(1,ROWS(AH54:AH152)))</f>
        <v>Wi-Fi Range Extender</v>
      </c>
      <c r="AI53" t="str">
        <f t="shared" ca="1" si="31"/>
        <v>Boosts home Wi-Fi signal</v>
      </c>
      <c r="AJ53" t="str" cm="1">
        <f t="array" aca="1" ref="AJ53" ca="1">INDEX($D$2:$D$101,RANDBETWEEN(1,ROWS(AJ54:AJ152)))</f>
        <v>Milk Frother</v>
      </c>
      <c r="AK53" t="str">
        <f t="shared" ca="1" si="35"/>
        <v>Froths milk for lattes and cappuccinos</v>
      </c>
      <c r="AL53" t="str" cm="1">
        <f t="array" aca="1" ref="AL53" ca="1">INDEX($D$2:$D$101,RANDBETWEEN(1,ROWS(AL54:AL152)))</f>
        <v>Smart Ceiling Light</v>
      </c>
      <c r="AM53" t="str">
        <f t="shared" ca="1" si="32"/>
        <v>Wi-Fi-enabled, color-changing ceiling light</v>
      </c>
      <c r="AN53" t="str" cm="1">
        <f t="array" aca="1" ref="AN53" ca="1">INDEX($D$2:$D$101,RANDBETWEEN(1,ROWS(AN54:AN152)))</f>
        <v>Automatic Hand Sanitizer</v>
      </c>
      <c r="AO53" t="str">
        <f t="shared" ca="1" si="33"/>
        <v>Touchless sanitizer dispenser</v>
      </c>
      <c r="AP53" t="str" cm="1">
        <f t="array" aca="1" ref="AP53" ca="1">INDEX($D$2:$D$101,RANDBETWEEN(1,ROWS(AP54:AP152)))</f>
        <v>Callus Remover</v>
      </c>
      <c r="AQ53" t="str">
        <f t="shared" ca="1" si="34"/>
        <v>Removes dead skin from feet</v>
      </c>
    </row>
    <row r="54" spans="1:43" ht="20.5" customHeight="1" x14ac:dyDescent="0.3">
      <c r="A54" s="22">
        <v>153</v>
      </c>
      <c r="B54" t="s">
        <v>370</v>
      </c>
      <c r="C54" t="s">
        <v>176</v>
      </c>
      <c r="D54" s="1" t="s">
        <v>177</v>
      </c>
      <c r="E54" s="1" t="s">
        <v>178</v>
      </c>
      <c r="F54" t="str" cm="1">
        <f t="array" aca="1" ref="F54" ca="1">INDEX($D$2:$D$101,RANDBETWEEN(1,ROWS(F55:F153)))</f>
        <v>Bluetooth Transmitter</v>
      </c>
      <c r="G54" t="str">
        <f t="shared" ca="1" si="0"/>
        <v>Sends audio to Bluetooth devices</v>
      </c>
      <c r="H54" t="str" cm="1">
        <f t="array" aca="1" ref="H54" ca="1">INDEX($D$2:$D$101,RANDBETWEEN(1,ROWS(H55:H153)))</f>
        <v>Hygrometer</v>
      </c>
      <c r="I54" t="str">
        <f t="shared" ca="1" si="18"/>
        <v>Measures indoor humidity levels</v>
      </c>
      <c r="J54" t="str" cm="1">
        <f t="array" aca="1" ref="J54" ca="1">INDEX($D$2:$D$101,RANDBETWEEN(1,ROWS(J55:J153)))</f>
        <v>Magnetic Charging Cable</v>
      </c>
      <c r="K54" t="str">
        <f t="shared" ca="1" si="19"/>
        <v>Detachable magnetic USB cable</v>
      </c>
      <c r="L54" t="str" cm="1">
        <f t="array" aca="1" ref="L54" ca="1">INDEX($D$2:$D$101,RANDBETWEEN(1,ROWS(L55:L153)))</f>
        <v>Egg Boiler</v>
      </c>
      <c r="M54" t="str">
        <f t="shared" ca="1" si="20"/>
        <v>Automatically boils eggs</v>
      </c>
      <c r="N54" t="str" cm="1">
        <f t="array" aca="1" ref="N54" ca="1">INDEX($D$2:$D$101,RANDBETWEEN(1,ROWS(N55:N153)))</f>
        <v>Smart IR Remote</v>
      </c>
      <c r="O54" t="str">
        <f t="shared" ca="1" si="21"/>
        <v>Controls appliances via smartphone</v>
      </c>
      <c r="P54" t="str" cm="1">
        <f t="array" aca="1" ref="P54" ca="1">INDEX($D$2:$D$101,RANDBETWEEN(1,ROWS(P55:P153)))</f>
        <v>Inverter AC</v>
      </c>
      <c r="Q54" t="str">
        <f t="shared" ca="1" si="22"/>
        <v>Energy-efficient air conditioner</v>
      </c>
      <c r="R54" t="str" cm="1">
        <f t="array" aca="1" ref="R54" ca="1">INDEX($D$2:$D$101,RANDBETWEEN(1,ROWS(R55:R153)))</f>
        <v>Smart Weighing Scale</v>
      </c>
      <c r="S54" t="str">
        <f t="shared" ca="1" si="23"/>
        <v>Body scale with app sync and health data</v>
      </c>
      <c r="T54" t="str" cm="1">
        <f t="array" aca="1" ref="T54" ca="1">INDEX($D$2:$D$101,RANDBETWEEN(1,ROWS(T55:T153)))</f>
        <v>Laptop Stand</v>
      </c>
      <c r="U54" t="str">
        <f t="shared" ca="1" si="24"/>
        <v>Raises laptop for ergonomic use</v>
      </c>
      <c r="V54" t="str" cm="1">
        <f t="array" aca="1" ref="V54" ca="1">INDEX($D$2:$D$101,RANDBETWEEN(1,ROWS(V55:V153)))</f>
        <v>Foldable Hair Dryer</v>
      </c>
      <c r="W54" t="str">
        <f t="shared" ca="1" si="25"/>
        <v>Compact, travel-friendly hair dryer</v>
      </c>
      <c r="X54" t="str" cm="1">
        <f t="array" aca="1" ref="X54" ca="1">INDEX($D$2:$D$101,RANDBETWEEN(1,ROWS(X55:X153)))</f>
        <v>Emergency Solar Light</v>
      </c>
      <c r="Y54" t="str">
        <f t="shared" ca="1" si="26"/>
        <v>Solar-powered backup light</v>
      </c>
      <c r="Z54" t="str" cm="1">
        <f t="array" aca="1" ref="Z54" ca="1">INDEX($D$2:$D$101,RANDBETWEEN(1,ROWS(Z55:Z153)))</f>
        <v>Rechargeable Torch</v>
      </c>
      <c r="AA54" t="str">
        <f t="shared" ca="1" si="27"/>
        <v>Flashlight that can be recharged</v>
      </c>
      <c r="AB54" t="str" cm="1">
        <f t="array" aca="1" ref="AB54" ca="1">INDEX($D$2:$D$101,RANDBETWEEN(1,ROWS(AB55:AB153)))</f>
        <v>DisplayPort Cable</v>
      </c>
      <c r="AC54" t="str">
        <f t="shared" ca="1" si="28"/>
        <v>High-resolution monitor cable</v>
      </c>
      <c r="AD54" t="str" cm="1">
        <f t="array" aca="1" ref="AD54" ca="1">INDEX($D$2:$D$101,RANDBETWEEN(1,ROWS(AD55:AD153)))</f>
        <v>Portable Car Heater</v>
      </c>
      <c r="AE54" t="str">
        <f t="shared" ca="1" si="29"/>
        <v>12V heater for car interiors</v>
      </c>
      <c r="AF54" t="str" cm="1">
        <f t="array" aca="1" ref="AF54" ca="1">INDEX($D$2:$D$101,RANDBETWEEN(1,ROWS(AF55:AF153)))</f>
        <v>Callus Remover</v>
      </c>
      <c r="AG54" t="str">
        <f t="shared" ca="1" si="30"/>
        <v>Removes dead skin from feet</v>
      </c>
      <c r="AH54" t="str" cm="1">
        <f t="array" aca="1" ref="AH54" ca="1">INDEX($D$2:$D$101,RANDBETWEEN(1,ROWS(AH55:AH153)))</f>
        <v>Soundbar</v>
      </c>
      <c r="AI54" t="str">
        <f t="shared" ca="1" si="31"/>
        <v>Compact speaker bar for TVs</v>
      </c>
      <c r="AJ54" t="str" cm="1">
        <f t="array" aca="1" ref="AJ54" ca="1">INDEX($D$2:$D$101,RANDBETWEEN(1,ROWS(AJ55:AJ153)))</f>
        <v>Soundbar</v>
      </c>
      <c r="AK54" t="str">
        <f t="shared" ca="1" si="35"/>
        <v>Compact speaker bar for TVs</v>
      </c>
      <c r="AL54" t="str" cm="1">
        <f t="array" aca="1" ref="AL54" ca="1">INDEX($D$2:$D$101,RANDBETWEEN(1,ROWS(AL55:AL153)))</f>
        <v>Electric Nail File Kit</v>
      </c>
      <c r="AM54" t="str">
        <f t="shared" ca="1" si="32"/>
        <v>For manicure and pedicure at home</v>
      </c>
      <c r="AN54" t="str" cm="1">
        <f t="array" aca="1" ref="AN54" ca="1">INDEX($D$2:$D$101,RANDBETWEEN(1,ROWS(AN55:AN153)))</f>
        <v>Smart Switch</v>
      </c>
      <c r="AO54" t="str">
        <f t="shared" ca="1" si="33"/>
        <v>Wi-Fi-enabled wall switch for remote operation</v>
      </c>
      <c r="AP54" t="str" cm="1">
        <f t="array" aca="1" ref="AP54" ca="1">INDEX($D$2:$D$101,RANDBETWEEN(1,ROWS(AP55:AP153)))</f>
        <v>Electric Water Boiler</v>
      </c>
      <c r="AQ54" t="str">
        <f t="shared" ca="1" si="34"/>
        <v>Quickly boils large volumes of water</v>
      </c>
    </row>
    <row r="55" spans="1:43" ht="20.5" customHeight="1" x14ac:dyDescent="0.3">
      <c r="A55" s="22">
        <v>154</v>
      </c>
      <c r="B55" t="s">
        <v>371</v>
      </c>
      <c r="C55" t="s">
        <v>179</v>
      </c>
      <c r="D55" s="1" t="s">
        <v>180</v>
      </c>
      <c r="E55" s="1" t="s">
        <v>181</v>
      </c>
      <c r="F55" t="str" cm="1">
        <f t="array" aca="1" ref="F55" ca="1">INDEX($D$2:$D$101,RANDBETWEEN(1,ROWS(F56:F154)))</f>
        <v>Facial Steamer</v>
      </c>
      <c r="G55" t="str">
        <f t="shared" ca="1" si="0"/>
        <v>Opens pores for skincare routine</v>
      </c>
      <c r="H55" t="str" cm="1">
        <f t="array" aca="1" ref="H55" ca="1">INDEX($D$2:$D$101,RANDBETWEEN(1,ROWS(H56:H154)))</f>
        <v>DisplayPort Cable</v>
      </c>
      <c r="I55" t="str">
        <f t="shared" ca="1" si="18"/>
        <v>High-resolution monitor cable</v>
      </c>
      <c r="J55" t="str" cm="1">
        <f t="array" aca="1" ref="J55" ca="1">INDEX($D$2:$D$101,RANDBETWEEN(1,ROWS(J56:J154)))</f>
        <v>Extension Board with USB</v>
      </c>
      <c r="K55" t="str">
        <f t="shared" ca="1" si="19"/>
        <v>Power strip with USB charging ports</v>
      </c>
      <c r="L55" t="str" cm="1">
        <f t="array" aca="1" ref="L55" ca="1">INDEX($D$2:$D$101,RANDBETWEEN(1,ROWS(L56:L154)))</f>
        <v>Solar Garden Light</v>
      </c>
      <c r="M55" t="str">
        <f t="shared" ca="1" si="20"/>
        <v>Solar-powered outdoor lighting</v>
      </c>
      <c r="N55" t="str" cm="1">
        <f t="array" aca="1" ref="N55" ca="1">INDEX($D$2:$D$101,RANDBETWEEN(1,ROWS(N56:N154)))</f>
        <v>Crepe Maker</v>
      </c>
      <c r="O55" t="str">
        <f t="shared" ca="1" si="21"/>
        <v>Electric pan for making crepes</v>
      </c>
      <c r="P55" t="str" cm="1">
        <f t="array" aca="1" ref="P55" ca="1">INDEX($D$2:$D$101,RANDBETWEEN(1,ROWS(P56:P154)))</f>
        <v>Hygrometer</v>
      </c>
      <c r="Q55" t="str">
        <f t="shared" ca="1" si="22"/>
        <v>Measures indoor humidity levels</v>
      </c>
      <c r="R55" t="str" cm="1">
        <f t="array" aca="1" ref="R55" ca="1">INDEX($D$2:$D$101,RANDBETWEEN(1,ROWS(R56:R154)))</f>
        <v>Tower Fan</v>
      </c>
      <c r="S55" t="str">
        <f t="shared" ca="1" si="23"/>
        <v>Space-saving vertical fan</v>
      </c>
      <c r="T55" t="str" cm="1">
        <f t="array" aca="1" ref="T55" ca="1">INDEX($D$2:$D$101,RANDBETWEEN(1,ROWS(T56:T154)))</f>
        <v>Roti Maker</v>
      </c>
      <c r="U55" t="str">
        <f t="shared" ca="1" si="24"/>
        <v>Flattens and cooks Indian flatbreads</v>
      </c>
      <c r="V55" t="str" cm="1">
        <f t="array" aca="1" ref="V55" ca="1">INDEX($D$2:$D$101,RANDBETWEEN(1,ROWS(V56:V154)))</f>
        <v>Gas Leak Detector</v>
      </c>
      <c r="W55" t="str">
        <f t="shared" ca="1" si="25"/>
        <v>Detects gas leaks in the kitchen</v>
      </c>
      <c r="X55" t="str" cm="1">
        <f t="array" aca="1" ref="X55" ca="1">INDEX($D$2:$D$101,RANDBETWEEN(1,ROWS(X56:X154)))</f>
        <v>Mini Bluetooth Receiver</v>
      </c>
      <c r="Y55" t="str">
        <f t="shared" ca="1" si="26"/>
        <v>Adds Bluetooth to non-Bluetooth devices</v>
      </c>
      <c r="Z55" t="str" cm="1">
        <f t="array" aca="1" ref="Z55" ca="1">INDEX($D$2:$D$101,RANDBETWEEN(1,ROWS(Z56:Z154)))</f>
        <v>UV Sterilizer Box</v>
      </c>
      <c r="AA55" t="str">
        <f t="shared" ca="1" si="27"/>
        <v>Disinfects small items using UV light</v>
      </c>
      <c r="AB55" t="str" cm="1">
        <f t="array" aca="1" ref="AB55" ca="1">INDEX($D$2:$D$101,RANDBETWEEN(1,ROWS(AB56:AB154)))</f>
        <v>Emergency Solar Light</v>
      </c>
      <c r="AC55" t="str">
        <f t="shared" ca="1" si="28"/>
        <v>Solar-powered backup light</v>
      </c>
      <c r="AD55" t="str" cm="1">
        <f t="array" aca="1" ref="AD55" ca="1">INDEX($D$2:$D$101,RANDBETWEEN(1,ROWS(AD56:AD154)))</f>
        <v>Bluetooth Alarm Clock</v>
      </c>
      <c r="AE55" t="str">
        <f t="shared" ca="1" si="29"/>
        <v>Combines alarm with Bluetooth speaker</v>
      </c>
      <c r="AF55" t="str" cm="1">
        <f t="array" aca="1" ref="AF55" ca="1">INDEX($D$2:$D$101,RANDBETWEEN(1,ROWS(AF56:AF154)))</f>
        <v>Electric Chopper</v>
      </c>
      <c r="AG55" t="str">
        <f t="shared" ca="1" si="30"/>
        <v>Chops vegetables and fruits quickly</v>
      </c>
      <c r="AH55" t="str" cm="1">
        <f t="array" aca="1" ref="AH55" ca="1">INDEX($D$2:$D$101,RANDBETWEEN(1,ROWS(AH56:AH154)))</f>
        <v>Espresso Machine</v>
      </c>
      <c r="AI55" t="str">
        <f t="shared" ca="1" si="31"/>
        <v>Makes espresso coffee drinks</v>
      </c>
      <c r="AJ55" t="str" cm="1">
        <f t="array" aca="1" ref="AJ55" ca="1">INDEX($D$2:$D$101,RANDBETWEEN(1,ROWS(AJ56:AJ154)))</f>
        <v>Portable Air Conditioner</v>
      </c>
      <c r="AK55" t="str">
        <f t="shared" ca="1" si="35"/>
        <v>Compact AC unit for small spaces</v>
      </c>
      <c r="AL55" t="str" cm="1">
        <f t="array" aca="1" ref="AL55" ca="1">INDEX($D$2:$D$101,RANDBETWEEN(1,ROWS(AL56:AL154)))</f>
        <v>Subwoofer</v>
      </c>
      <c r="AM55" t="str">
        <f t="shared" ca="1" si="32"/>
        <v>Deep bass audio speaker</v>
      </c>
      <c r="AN55" t="str" cm="1">
        <f t="array" aca="1" ref="AN55" ca="1">INDEX($D$2:$D$101,RANDBETWEEN(1,ROWS(AN56:AN154)))</f>
        <v>USB-C Docking Station</v>
      </c>
      <c r="AO55" t="str">
        <f t="shared" ca="1" si="33"/>
        <v>Expands ports for laptops</v>
      </c>
      <c r="AP55" t="str" cm="1">
        <f t="array" aca="1" ref="AP55" ca="1">INDEX($D$2:$D$101,RANDBETWEEN(1,ROWS(AP56:AP154)))</f>
        <v>Smart Rearview Mirror</v>
      </c>
      <c r="AQ55" t="str">
        <f t="shared" ca="1" si="34"/>
        <v>Touchscreen mirror with GPS and camera</v>
      </c>
    </row>
    <row r="56" spans="1:43" ht="20.5" customHeight="1" x14ac:dyDescent="0.3">
      <c r="A56" s="22">
        <v>155</v>
      </c>
      <c r="B56" t="s">
        <v>372</v>
      </c>
      <c r="C56" t="s">
        <v>182</v>
      </c>
      <c r="D56" s="1" t="s">
        <v>183</v>
      </c>
      <c r="E56" s="1" t="s">
        <v>184</v>
      </c>
      <c r="F56" t="str" cm="1">
        <f t="array" aca="1" ref="F56" ca="1">INDEX($D$2:$D$101,RANDBETWEEN(1,ROWS(F57:F155)))</f>
        <v>UV Toothbrush Sterilizer</v>
      </c>
      <c r="G56" t="str">
        <f t="shared" ca="1" si="0"/>
        <v>Disinfects toothbrush using UV light</v>
      </c>
      <c r="H56" t="str" cm="1">
        <f t="array" aca="1" ref="H56" ca="1">INDEX($D$2:$D$101,RANDBETWEEN(1,ROWS(H57:H155)))</f>
        <v>Indoor Thermometer</v>
      </c>
      <c r="I56" t="str">
        <f t="shared" ca="1" si="18"/>
        <v>Displays indoor temperature</v>
      </c>
      <c r="J56" t="str" cm="1">
        <f t="array" aca="1" ref="J56" ca="1">INDEX($D$2:$D$101,RANDBETWEEN(1,ROWS(J57:J155)))</f>
        <v>Rechargeable Torch</v>
      </c>
      <c r="K56" t="str">
        <f t="shared" ca="1" si="19"/>
        <v>Flashlight that can be recharged</v>
      </c>
      <c r="L56" t="str" cm="1">
        <f t="array" aca="1" ref="L56" ca="1">INDEX($D$2:$D$101,RANDBETWEEN(1,ROWS(L57:L155)))</f>
        <v>Digital Multimeter</v>
      </c>
      <c r="M56" t="str">
        <f t="shared" ca="1" si="20"/>
        <v>Measures voltage, current, resistance</v>
      </c>
      <c r="N56" t="str" cm="1">
        <f t="array" aca="1" ref="N56" ca="1">INDEX($D$2:$D$101,RANDBETWEEN(1,ROWS(N57:N155)))</f>
        <v>Egg Boiler</v>
      </c>
      <c r="O56" t="str">
        <f t="shared" ca="1" si="21"/>
        <v>Automatically boils eggs</v>
      </c>
      <c r="P56" t="str" cm="1">
        <f t="array" aca="1" ref="P56" ca="1">INDEX($D$2:$D$101,RANDBETWEEN(1,ROWS(P57:P155)))</f>
        <v>Smart Weighing Scale</v>
      </c>
      <c r="Q56" t="str">
        <f t="shared" ca="1" si="22"/>
        <v>Body scale with app sync and health data</v>
      </c>
      <c r="R56" t="str" cm="1">
        <f t="array" aca="1" ref="R56" ca="1">INDEX($D$2:$D$101,RANDBETWEEN(1,ROWS(R57:R155)))</f>
        <v>Heated Eyelash Curler</v>
      </c>
      <c r="S56" t="str">
        <f t="shared" ca="1" si="23"/>
        <v>Shapes eyelashes with gentle heat</v>
      </c>
      <c r="T56" t="str" cm="1">
        <f t="array" aca="1" ref="T56" ca="1">INDEX($D$2:$D$101,RANDBETWEEN(1,ROWS(T57:T155)))</f>
        <v>Portable Power Station</v>
      </c>
      <c r="U56" t="str">
        <f t="shared" ca="1" si="24"/>
        <v>Rechargeable power supply for outdoors</v>
      </c>
      <c r="V56" t="str" cm="1">
        <f t="array" aca="1" ref="V56" ca="1">INDEX($D$2:$D$101,RANDBETWEEN(1,ROWS(V57:V155)))</f>
        <v>Solar Garden Light</v>
      </c>
      <c r="W56" t="str">
        <f t="shared" ca="1" si="25"/>
        <v>Solar-powered outdoor lighting</v>
      </c>
      <c r="X56" t="str" cm="1">
        <f t="array" aca="1" ref="X56" ca="1">INDEX($D$2:$D$101,RANDBETWEEN(1,ROWS(X57:X155)))</f>
        <v>Motion Detector</v>
      </c>
      <c r="Y56" t="str">
        <f t="shared" ca="1" si="26"/>
        <v>Triggers alarm or light on motion detection</v>
      </c>
      <c r="Z56" t="str" cm="1">
        <f t="array" aca="1" ref="Z56" ca="1">INDEX($D$2:$D$101,RANDBETWEEN(1,ROWS(Z57:Z155)))</f>
        <v>Smart Washing Machine</v>
      </c>
      <c r="AA56" t="str">
        <f t="shared" ca="1" si="27"/>
        <v>Wi-Fi-enabled washer with remote control options</v>
      </c>
      <c r="AB56" t="str" cm="1">
        <f t="array" aca="1" ref="AB56" ca="1">INDEX($D$2:$D$101,RANDBETWEEN(1,ROWS(AB57:AB155)))</f>
        <v>Portable Air Conditioner</v>
      </c>
      <c r="AC56" t="str">
        <f t="shared" ca="1" si="28"/>
        <v>Compact AC unit for small spaces</v>
      </c>
      <c r="AD56" t="str" cm="1">
        <f t="array" aca="1" ref="AD56" ca="1">INDEX($D$2:$D$101,RANDBETWEEN(1,ROWS(AD57:AD155)))</f>
        <v>Instant Coffee Machine</v>
      </c>
      <c r="AE56" t="str">
        <f t="shared" ca="1" si="29"/>
        <v>Brews coffee quickly and easily</v>
      </c>
      <c r="AF56" t="str" cm="1">
        <f t="array" aca="1" ref="AF56" ca="1">INDEX($D$2:$D$101,RANDBETWEEN(1,ROWS(AF57:AF155)))</f>
        <v>Smart Washing Machine</v>
      </c>
      <c r="AG56" t="str">
        <f t="shared" ca="1" si="30"/>
        <v>Wi-Fi-enabled washer with remote control options</v>
      </c>
      <c r="AH56" t="str" cm="1">
        <f t="array" aca="1" ref="AH56" ca="1">INDEX($D$2:$D$101,RANDBETWEEN(1,ROWS(AH57:AH155)))</f>
        <v>Electric Facial Brush</v>
      </c>
      <c r="AI56" t="str">
        <f t="shared" ca="1" si="31"/>
        <v>Cleansing brush for exfoliation</v>
      </c>
      <c r="AJ56" t="str" cm="1">
        <f t="array" aca="1" ref="AJ56" ca="1">INDEX($D$2:$D$101,RANDBETWEEN(1,ROWS(AJ57:AJ155)))</f>
        <v>Bluetooth Alarm Clock</v>
      </c>
      <c r="AK56" t="str">
        <f t="shared" ca="1" si="35"/>
        <v>Combines alarm with Bluetooth speaker</v>
      </c>
      <c r="AL56" t="str" cm="1">
        <f t="array" aca="1" ref="AL56" ca="1">INDEX($D$2:$D$101,RANDBETWEEN(1,ROWS(AL57:AL155)))</f>
        <v>Portable Air Conditioner</v>
      </c>
      <c r="AM56" t="str">
        <f t="shared" ca="1" si="32"/>
        <v>Compact AC unit for small spaces</v>
      </c>
      <c r="AN56" t="str" cm="1">
        <f t="array" aca="1" ref="AN56" ca="1">INDEX($D$2:$D$101,RANDBETWEEN(1,ROWS(AN57:AN155)))</f>
        <v>Mosquito Killer Lamp</v>
      </c>
      <c r="AO56" t="str">
        <f t="shared" ca="1" si="33"/>
        <v>Electric trap for mosquitoes</v>
      </c>
      <c r="AP56" t="str" cm="1">
        <f t="array" aca="1" ref="AP56" ca="1">INDEX($D$2:$D$101,RANDBETWEEN(1,ROWS(AP57:AP155)))</f>
        <v>Kitchen Weighing Scale</v>
      </c>
      <c r="AQ56" t="str">
        <f t="shared" ca="1" si="34"/>
        <v>Measures food portions accurately</v>
      </c>
    </row>
    <row r="57" spans="1:43" ht="20.5" customHeight="1" x14ac:dyDescent="0.3">
      <c r="A57" s="22">
        <v>156</v>
      </c>
      <c r="B57" t="s">
        <v>373</v>
      </c>
      <c r="C57" t="s">
        <v>185</v>
      </c>
      <c r="D57" s="1" t="s">
        <v>186</v>
      </c>
      <c r="E57" s="1" t="s">
        <v>187</v>
      </c>
      <c r="F57" t="str" cm="1">
        <f t="array" aca="1" ref="F57" ca="1">INDEX($D$2:$D$101,RANDBETWEEN(1,ROWS(F58:F156)))</f>
        <v>Meat Grinder</v>
      </c>
      <c r="G57" t="str">
        <f t="shared" ca="1" si="0"/>
        <v>Grinds meat for home cooking</v>
      </c>
      <c r="H57" t="str" cm="1">
        <f t="array" aca="1" ref="H57" ca="1">INDEX($D$2:$D$101,RANDBETWEEN(1,ROWS(H58:H156)))</f>
        <v>Callus Remover</v>
      </c>
      <c r="I57" t="str">
        <f t="shared" ca="1" si="18"/>
        <v>Removes dead skin from feet</v>
      </c>
      <c r="J57" t="str" cm="1">
        <f t="array" aca="1" ref="J57" ca="1">INDEX($D$2:$D$101,RANDBETWEEN(1,ROWS(J58:J156)))</f>
        <v>Digital Multimeter</v>
      </c>
      <c r="K57" t="str">
        <f t="shared" ca="1" si="19"/>
        <v>Measures voltage, current, resistance</v>
      </c>
      <c r="L57" t="str" cm="1">
        <f t="array" aca="1" ref="L57" ca="1">INDEX($D$2:$D$101,RANDBETWEEN(1,ROWS(L58:L156)))</f>
        <v>Hygrometer</v>
      </c>
      <c r="M57" t="str">
        <f t="shared" ca="1" si="20"/>
        <v>Measures indoor humidity levels</v>
      </c>
      <c r="N57" t="str" cm="1">
        <f t="array" aca="1" ref="N57" ca="1">INDEX($D$2:$D$101,RANDBETWEEN(1,ROWS(N58:N156)))</f>
        <v>Car Air Purifier</v>
      </c>
      <c r="O57" t="str">
        <f t="shared" ca="1" si="21"/>
        <v>Filters air inside vehicles</v>
      </c>
      <c r="P57" t="str" cm="1">
        <f t="array" aca="1" ref="P57" ca="1">INDEX($D$2:$D$101,RANDBETWEEN(1,ROWS(P58:P156)))</f>
        <v>Rechargeable Torch</v>
      </c>
      <c r="Q57" t="str">
        <f t="shared" ca="1" si="22"/>
        <v>Flashlight that can be recharged</v>
      </c>
      <c r="R57" t="str" cm="1">
        <f t="array" aca="1" ref="R57" ca="1">INDEX($D$2:$D$101,RANDBETWEEN(1,ROWS(R58:R156)))</f>
        <v>Room Heater</v>
      </c>
      <c r="S57" t="str">
        <f t="shared" ca="1" si="23"/>
        <v>Electric heater for indoor heating</v>
      </c>
      <c r="T57" t="str" cm="1">
        <f t="array" aca="1" ref="T57" ca="1">INDEX($D$2:$D$101,RANDBETWEEN(1,ROWS(T58:T156)))</f>
        <v>Chimney Hood</v>
      </c>
      <c r="U57" t="str">
        <f t="shared" ca="1" si="24"/>
        <v>Kitchen exhaust for smoke and fumes</v>
      </c>
      <c r="V57" t="str" cm="1">
        <f t="array" aca="1" ref="V57" ca="1">INDEX($D$2:$D$101,RANDBETWEEN(1,ROWS(V58:V156)))</f>
        <v>Mini Fridge</v>
      </c>
      <c r="W57" t="str">
        <f t="shared" ca="1" si="25"/>
        <v>Compact refrigerator for beverages</v>
      </c>
      <c r="X57" t="str" cm="1">
        <f t="array" aca="1" ref="X57" ca="1">INDEX($D$2:$D$101,RANDBETWEEN(1,ROWS(X58:X156)))</f>
        <v>Instant Coffee Machine</v>
      </c>
      <c r="Y57" t="str">
        <f t="shared" ca="1" si="26"/>
        <v>Brews coffee quickly and easily</v>
      </c>
      <c r="Z57" t="str" cm="1">
        <f t="array" aca="1" ref="Z57" ca="1">INDEX($D$2:$D$101,RANDBETWEEN(1,ROWS(Z58:Z156)))</f>
        <v>Yogurt Maker</v>
      </c>
      <c r="AA57" t="str">
        <f t="shared" ca="1" si="27"/>
        <v>Home appliance for making yogurt</v>
      </c>
      <c r="AB57" t="str" cm="1">
        <f t="array" aca="1" ref="AB57" ca="1">INDEX($D$2:$D$101,RANDBETWEEN(1,ROWS(AB58:AB156)))</f>
        <v>Solar Garden Light</v>
      </c>
      <c r="AC57" t="str">
        <f t="shared" ca="1" si="28"/>
        <v>Solar-powered outdoor lighting</v>
      </c>
      <c r="AD57" t="str" cm="1">
        <f t="array" aca="1" ref="AD57" ca="1">INDEX($D$2:$D$101,RANDBETWEEN(1,ROWS(AD58:AD156)))</f>
        <v>DisplayPort Cable</v>
      </c>
      <c r="AE57" t="str">
        <f t="shared" ca="1" si="29"/>
        <v>High-resolution monitor cable</v>
      </c>
      <c r="AF57" t="str" cm="1">
        <f t="array" aca="1" ref="AF57" ca="1">INDEX($D$2:$D$101,RANDBETWEEN(1,ROWS(AF58:AF156)))</f>
        <v>Electric Facial Brush</v>
      </c>
      <c r="AG57" t="str">
        <f t="shared" ca="1" si="30"/>
        <v>Cleansing brush for exfoliation</v>
      </c>
      <c r="AH57" t="str" cm="1">
        <f t="array" aca="1" ref="AH57" ca="1">INDEX($D$2:$D$101,RANDBETWEEN(1,ROWS(AH58:AH156)))</f>
        <v>TV Wall Mount</v>
      </c>
      <c r="AI57" t="str">
        <f t="shared" ca="1" si="31"/>
        <v>Mounting bracket for flat TVs</v>
      </c>
      <c r="AJ57" t="str" cm="1">
        <f t="array" aca="1" ref="AJ57" ca="1">INDEX($D$2:$D$101,RANDBETWEEN(1,ROWS(AJ58:AJ156)))</f>
        <v>Plug-in Night Light</v>
      </c>
      <c r="AK57" t="str">
        <f t="shared" ca="1" si="35"/>
        <v>Low-power night light for rooms</v>
      </c>
      <c r="AL57" t="str" cm="1">
        <f t="array" aca="1" ref="AL57" ca="1">INDEX($D$2:$D$101,RANDBETWEEN(1,ROWS(AL58:AL156)))</f>
        <v>Bluetooth Alarm Clock</v>
      </c>
      <c r="AM57" t="str">
        <f t="shared" ca="1" si="32"/>
        <v>Combines alarm with Bluetooth speaker</v>
      </c>
      <c r="AN57" t="str" cm="1">
        <f t="array" aca="1" ref="AN57" ca="1">INDEX($D$2:$D$101,RANDBETWEEN(1,ROWS(AN58:AN156)))</f>
        <v>Dashcam Rear Camera</v>
      </c>
      <c r="AO57" t="str">
        <f t="shared" ca="1" si="33"/>
        <v>Rear view recording for vehicles</v>
      </c>
      <c r="AP57" t="str" cm="1">
        <f t="array" aca="1" ref="AP57" ca="1">INDEX($D$2:$D$101,RANDBETWEEN(1,ROWS(AP58:AP156)))</f>
        <v>Personal Neck Fan</v>
      </c>
      <c r="AQ57" t="str">
        <f t="shared" ca="1" si="34"/>
        <v>Wearable fan for hands-free cooling</v>
      </c>
    </row>
    <row r="58" spans="1:43" ht="20.5" customHeight="1" x14ac:dyDescent="0.3">
      <c r="A58" s="22">
        <v>157</v>
      </c>
      <c r="B58" t="s">
        <v>374</v>
      </c>
      <c r="C58" t="s">
        <v>188</v>
      </c>
      <c r="D58" s="1" t="s">
        <v>189</v>
      </c>
      <c r="E58" s="1" t="s">
        <v>190</v>
      </c>
      <c r="F58" t="str" cm="1">
        <f t="array" aca="1" ref="F58" ca="1">INDEX($D$2:$D$101,RANDBETWEEN(1,ROWS(F59:F157)))</f>
        <v>Portable Air Conditioner</v>
      </c>
      <c r="G58" t="str">
        <f t="shared" ca="1" si="0"/>
        <v>Compact AC unit for small spaces</v>
      </c>
      <c r="H58" t="str" cm="1">
        <f t="array" aca="1" ref="H58" ca="1">INDEX($D$2:$D$101,RANDBETWEEN(1,ROWS(H59:H157)))</f>
        <v>Solar Garden Light</v>
      </c>
      <c r="I58" t="str">
        <f t="shared" ca="1" si="18"/>
        <v>Solar-powered outdoor lighting</v>
      </c>
      <c r="J58" t="str" cm="1">
        <f t="array" aca="1" ref="J58" ca="1">INDEX($D$2:$D$101,RANDBETWEEN(1,ROWS(J59:J157)))</f>
        <v>Chimney Hood</v>
      </c>
      <c r="K58" t="str">
        <f t="shared" ca="1" si="19"/>
        <v>Kitchen exhaust for smoke and fumes</v>
      </c>
      <c r="L58" t="str" cm="1">
        <f t="array" aca="1" ref="L58" ca="1">INDEX($D$2:$D$101,RANDBETWEEN(1,ROWS(L59:L157)))</f>
        <v>Hair Removal Epilator</v>
      </c>
      <c r="M58" t="str">
        <f t="shared" ca="1" si="20"/>
        <v>Plucks hair from root electrically</v>
      </c>
      <c r="N58" t="str" cm="1">
        <f t="array" aca="1" ref="N58" ca="1">INDEX($D$2:$D$101,RANDBETWEEN(1,ROWS(N59:N157)))</f>
        <v>Electric Grill</v>
      </c>
      <c r="O58" t="str">
        <f t="shared" ca="1" si="21"/>
        <v>Indoor grill for meat and vegetables</v>
      </c>
      <c r="P58" t="str" cm="1">
        <f t="array" aca="1" ref="P58" ca="1">INDEX($D$2:$D$101,RANDBETWEEN(1,ROWS(P59:P157)))</f>
        <v>Smart Rearview Mirror</v>
      </c>
      <c r="Q58" t="str">
        <f t="shared" ca="1" si="22"/>
        <v>Touchscreen mirror with GPS and camera</v>
      </c>
      <c r="R58" t="str" cm="1">
        <f t="array" aca="1" ref="R58" ca="1">INDEX($D$2:$D$101,RANDBETWEEN(1,ROWS(R59:R157)))</f>
        <v>Air Cooler</v>
      </c>
      <c r="S58" t="str">
        <f t="shared" ca="1" si="23"/>
        <v>Evaporative cooling appliance for rooms</v>
      </c>
      <c r="T58" t="str" cm="1">
        <f t="array" aca="1" ref="T58" ca="1">INDEX($D$2:$D$101,RANDBETWEEN(1,ROWS(T59:T157)))</f>
        <v>Portable Induction Stove</v>
      </c>
      <c r="U58" t="str">
        <f t="shared" ca="1" si="24"/>
        <v>Lightweight induction stove for mobile cooking</v>
      </c>
      <c r="V58" t="str" cm="1">
        <f t="array" aca="1" ref="V58" ca="1">INDEX($D$2:$D$101,RANDBETWEEN(1,ROWS(V59:V157)))</f>
        <v>Bluetooth Alarm Clock</v>
      </c>
      <c r="W58" t="str">
        <f t="shared" ca="1" si="25"/>
        <v>Combines alarm with Bluetooth speaker</v>
      </c>
      <c r="X58" t="str" cm="1">
        <f t="array" aca="1" ref="X58" ca="1">INDEX($D$2:$D$101,RANDBETWEEN(1,ROWS(X59:X157)))</f>
        <v>Electric Nail File Kit</v>
      </c>
      <c r="Y58" t="str">
        <f t="shared" ca="1" si="26"/>
        <v>For manicure and pedicure at home</v>
      </c>
      <c r="Z58" t="str" cm="1">
        <f t="array" aca="1" ref="Z58" ca="1">INDEX($D$2:$D$101,RANDBETWEEN(1,ROWS(Z59:Z157)))</f>
        <v>Smart Alarm Clock</v>
      </c>
      <c r="AA58" t="str">
        <f t="shared" ca="1" si="27"/>
        <v>Alarm with smart features like weather, music, and lights</v>
      </c>
      <c r="AB58" t="str" cm="1">
        <f t="array" aca="1" ref="AB58" ca="1">INDEX($D$2:$D$101,RANDBETWEEN(1,ROWS(AB59:AB157)))</f>
        <v>USB-C Docking Station</v>
      </c>
      <c r="AC58" t="str">
        <f t="shared" ca="1" si="28"/>
        <v>Expands ports for laptops</v>
      </c>
      <c r="AD58" t="str" cm="1">
        <f t="array" aca="1" ref="AD58" ca="1">INDEX($D$2:$D$101,RANDBETWEEN(1,ROWS(AD59:AD157)))</f>
        <v>Mini Bluetooth Receiver</v>
      </c>
      <c r="AE58" t="str">
        <f t="shared" ca="1" si="29"/>
        <v>Adds Bluetooth to non-Bluetooth devices</v>
      </c>
      <c r="AF58" t="str" cm="1">
        <f t="array" aca="1" ref="AF58" ca="1">INDEX($D$2:$D$101,RANDBETWEEN(1,ROWS(AF59:AF157)))</f>
        <v>Extension Board with USB</v>
      </c>
      <c r="AG58" t="str">
        <f t="shared" ca="1" si="30"/>
        <v>Power strip with USB charging ports</v>
      </c>
      <c r="AH58" t="str" cm="1">
        <f t="array" aca="1" ref="AH58" ca="1">INDEX($D$2:$D$101,RANDBETWEEN(1,ROWS(AH59:AH157)))</f>
        <v>UV Toothbrush Sterilizer</v>
      </c>
      <c r="AI58" t="str">
        <f t="shared" ca="1" si="31"/>
        <v>Disinfects toothbrush using UV light</v>
      </c>
      <c r="AJ58" t="str" cm="1">
        <f t="array" aca="1" ref="AJ58" ca="1">INDEX($D$2:$D$101,RANDBETWEEN(1,ROWS(AJ59:AJ157)))</f>
        <v>Mini Bluetooth Receiver</v>
      </c>
      <c r="AK58" t="str">
        <f t="shared" ca="1" si="35"/>
        <v>Adds Bluetooth to non-Bluetooth devices</v>
      </c>
      <c r="AL58" t="str" cm="1">
        <f t="array" aca="1" ref="AL58" ca="1">INDEX($D$2:$D$101,RANDBETWEEN(1,ROWS(AL59:AL157)))</f>
        <v>Inverter AC</v>
      </c>
      <c r="AM58" t="str">
        <f t="shared" ca="1" si="32"/>
        <v>Energy-efficient air conditioner</v>
      </c>
      <c r="AN58" t="str" cm="1">
        <f t="array" aca="1" ref="AN58" ca="1">INDEX($D$2:$D$101,RANDBETWEEN(1,ROWS(AN59:AN157)))</f>
        <v>Pedestal Fan</v>
      </c>
      <c r="AO58" t="str">
        <f t="shared" ca="1" si="33"/>
        <v>Adjustable stand fan for personal cooling</v>
      </c>
      <c r="AP58" t="str" cm="1">
        <f t="array" aca="1" ref="AP58" ca="1">INDEX($D$2:$D$101,RANDBETWEEN(1,ROWS(AP59:AP157)))</f>
        <v>Electric Nail File Kit</v>
      </c>
      <c r="AQ58" t="str">
        <f t="shared" ca="1" si="34"/>
        <v>For manicure and pedicure at home</v>
      </c>
    </row>
    <row r="59" spans="1:43" ht="20.5" customHeight="1" x14ac:dyDescent="0.3">
      <c r="A59" s="22">
        <v>158</v>
      </c>
      <c r="B59" t="s">
        <v>375</v>
      </c>
      <c r="C59" t="s">
        <v>191</v>
      </c>
      <c r="D59" s="1" t="s">
        <v>192</v>
      </c>
      <c r="E59" s="1" t="s">
        <v>193</v>
      </c>
      <c r="F59" t="str" cm="1">
        <f t="array" aca="1" ref="F59" ca="1">INDEX($D$2:$D$101,RANDBETWEEN(1,ROWS(F60:F158)))</f>
        <v>Espresso Machine</v>
      </c>
      <c r="G59" t="str">
        <f t="shared" ca="1" si="0"/>
        <v>Makes espresso coffee drinks</v>
      </c>
      <c r="H59" t="str" cm="1">
        <f t="array" aca="1" ref="H59" ca="1">INDEX($D$2:$D$101,RANDBETWEEN(1,ROWS(H60:H158)))</f>
        <v>Portable Power Station</v>
      </c>
      <c r="I59" t="str">
        <f t="shared" ca="1" si="18"/>
        <v>Rechargeable power supply for outdoors</v>
      </c>
      <c r="J59" t="str" cm="1">
        <f t="array" aca="1" ref="J59" ca="1">INDEX($D$2:$D$101,RANDBETWEEN(1,ROWS(J60:J158)))</f>
        <v>Plug-in Night Light</v>
      </c>
      <c r="K59" t="str">
        <f t="shared" ca="1" si="19"/>
        <v>Low-power night light for rooms</v>
      </c>
      <c r="L59" t="str" cm="1">
        <f t="array" aca="1" ref="L59" ca="1">INDEX($D$2:$D$101,RANDBETWEEN(1,ROWS(L60:L158)))</f>
        <v>Smart Ceiling Light</v>
      </c>
      <c r="M59" t="str">
        <f t="shared" ca="1" si="20"/>
        <v>Wi-Fi-enabled, color-changing ceiling light</v>
      </c>
      <c r="N59" t="str" cm="1">
        <f t="array" aca="1" ref="N59" ca="1">INDEX($D$2:$D$101,RANDBETWEEN(1,ROWS(N60:N158)))</f>
        <v>Pancake Maker</v>
      </c>
      <c r="O59" t="str">
        <f t="shared" ca="1" si="21"/>
        <v>Easy tool for making pancakes</v>
      </c>
      <c r="P59" t="str" cm="1">
        <f t="array" aca="1" ref="P59" ca="1">INDEX($D$2:$D$101,RANDBETWEEN(1,ROWS(P60:P158)))</f>
        <v>Ultrasonic Skin Cleaner</v>
      </c>
      <c r="Q59" t="str">
        <f t="shared" ca="1" si="22"/>
        <v>Deep cleans skin using ultrasonic waves</v>
      </c>
      <c r="R59" t="str" cm="1">
        <f t="array" aca="1" ref="R59" ca="1">INDEX($D$2:$D$101,RANDBETWEEN(1,ROWS(R60:R158)))</f>
        <v>LED Strip with Remote</v>
      </c>
      <c r="S59" t="str">
        <f t="shared" ca="1" si="23"/>
        <v>Customizable LED lighting with remote control</v>
      </c>
      <c r="T59" t="str" cm="1">
        <f t="array" aca="1" ref="T59" ca="1">INDEX($D$2:$D$101,RANDBETWEEN(1,ROWS(T60:T158)))</f>
        <v>Water Dispenser</v>
      </c>
      <c r="U59" t="str">
        <f t="shared" ca="1" si="24"/>
        <v>Dispenses hot and cold water</v>
      </c>
      <c r="V59" t="str" cm="1">
        <f t="array" aca="1" ref="V59" ca="1">INDEX($D$2:$D$101,RANDBETWEEN(1,ROWS(V60:V158)))</f>
        <v>Smart Switch</v>
      </c>
      <c r="W59" t="str">
        <f t="shared" ca="1" si="25"/>
        <v>Wi-Fi-enabled wall switch for remote operation</v>
      </c>
      <c r="X59" t="str" cm="1">
        <f t="array" aca="1" ref="X59" ca="1">INDEX($D$2:$D$101,RANDBETWEEN(1,ROWS(X60:X158)))</f>
        <v>Smart Air Conditioner</v>
      </c>
      <c r="Y59" t="str">
        <f t="shared" ca="1" si="26"/>
        <v>AC unit controllable via smartphone or voice</v>
      </c>
      <c r="Z59" t="str" cm="1">
        <f t="array" aca="1" ref="Z59" ca="1">INDEX($D$2:$D$101,RANDBETWEEN(1,ROWS(Z60:Z158)))</f>
        <v>Instant Coffee Machine</v>
      </c>
      <c r="AA59" t="str">
        <f t="shared" ca="1" si="27"/>
        <v>Brews coffee quickly and easily</v>
      </c>
      <c r="AB59" t="str" cm="1">
        <f t="array" aca="1" ref="AB59" ca="1">INDEX($D$2:$D$101,RANDBETWEEN(1,ROWS(AB60:AB158)))</f>
        <v>Electric Water Boiler</v>
      </c>
      <c r="AC59" t="str">
        <f t="shared" ca="1" si="28"/>
        <v>Quickly boils large volumes of water</v>
      </c>
      <c r="AD59" t="str" cm="1">
        <f t="array" aca="1" ref="AD59" ca="1">INDEX($D$2:$D$101,RANDBETWEEN(1,ROWS(AD60:AD158)))</f>
        <v>Air Humidifier with Light</v>
      </c>
      <c r="AE59" t="str">
        <f t="shared" ca="1" si="29"/>
        <v>Adds moisture and includes night light feature</v>
      </c>
      <c r="AF59" t="str" cm="1">
        <f t="array" aca="1" ref="AF59" ca="1">INDEX($D$2:$D$101,RANDBETWEEN(1,ROWS(AF60:AF158)))</f>
        <v>DisplayPort Cable</v>
      </c>
      <c r="AG59" t="str">
        <f t="shared" ca="1" si="30"/>
        <v>High-resolution monitor cable</v>
      </c>
      <c r="AH59" t="str" cm="1">
        <f t="array" aca="1" ref="AH59" ca="1">INDEX($D$2:$D$101,RANDBETWEEN(1,ROWS(AH60:AH158)))</f>
        <v>Cold Press Juicer</v>
      </c>
      <c r="AI59" t="str">
        <f t="shared" ca="1" si="31"/>
        <v>Slow juicer for better nutrient retention</v>
      </c>
      <c r="AJ59" t="str" cm="1">
        <f t="array" aca="1" ref="AJ59" ca="1">INDEX($D$2:$D$101,RANDBETWEEN(1,ROWS(AJ60:AJ158)))</f>
        <v>Mesh Wi-Fi System</v>
      </c>
      <c r="AK59" t="str">
        <f t="shared" ca="1" si="35"/>
        <v>Whole-home wireless coverage</v>
      </c>
      <c r="AL59" t="str" cm="1">
        <f t="array" aca="1" ref="AL59" ca="1">INDEX($D$2:$D$101,RANDBETWEEN(1,ROWS(AL60:AL158)))</f>
        <v>Hygrometer</v>
      </c>
      <c r="AM59" t="str">
        <f t="shared" ca="1" si="32"/>
        <v>Measures indoor humidity levels</v>
      </c>
      <c r="AN59" t="str" cm="1">
        <f t="array" aca="1" ref="AN59" ca="1">INDEX($D$2:$D$101,RANDBETWEEN(1,ROWS(AN60:AN158)))</f>
        <v>Smart Rearview Mirror</v>
      </c>
      <c r="AO59" t="str">
        <f t="shared" ca="1" si="33"/>
        <v>Touchscreen mirror with GPS and camera</v>
      </c>
      <c r="AP59" t="str" cm="1">
        <f t="array" aca="1" ref="AP59" ca="1">INDEX($D$2:$D$101,RANDBETWEEN(1,ROWS(AP60:AP158)))</f>
        <v>Meat Grinder</v>
      </c>
      <c r="AQ59" t="str">
        <f t="shared" ca="1" si="34"/>
        <v>Grinds meat for home cooking</v>
      </c>
    </row>
    <row r="60" spans="1:43" ht="20.5" customHeight="1" x14ac:dyDescent="0.3">
      <c r="A60" s="22">
        <v>159</v>
      </c>
      <c r="B60" t="s">
        <v>376</v>
      </c>
      <c r="C60" t="s">
        <v>194</v>
      </c>
      <c r="D60" s="1" t="s">
        <v>195</v>
      </c>
      <c r="E60" s="1" t="s">
        <v>196</v>
      </c>
      <c r="F60" t="str" cm="1">
        <f t="array" aca="1" ref="F60" ca="1">INDEX($D$2:$D$101,RANDBETWEEN(1,ROWS(F61:F159)))</f>
        <v>HDMI Cable</v>
      </c>
      <c r="G60" t="str">
        <f t="shared" ca="1" si="0"/>
        <v>Transfers audio/video signals</v>
      </c>
      <c r="H60" t="str" cm="1">
        <f t="array" aca="1" ref="H60" ca="1">INDEX($D$2:$D$101,RANDBETWEEN(1,ROWS(H61:H159)))</f>
        <v>Subwoofer</v>
      </c>
      <c r="I60" t="str">
        <f t="shared" ca="1" si="18"/>
        <v>Deep bass audio speaker</v>
      </c>
      <c r="J60" t="str" cm="1">
        <f t="array" aca="1" ref="J60" ca="1">INDEX($D$2:$D$101,RANDBETWEEN(1,ROWS(J61:J159)))</f>
        <v>Hair Removal Epilator</v>
      </c>
      <c r="K60" t="str">
        <f t="shared" ca="1" si="19"/>
        <v>Plucks hair from root electrically</v>
      </c>
      <c r="L60" t="str" cm="1">
        <f t="array" aca="1" ref="L60" ca="1">INDEX($D$2:$D$101,RANDBETWEEN(1,ROWS(L61:L159)))</f>
        <v>Wall-Mounted Fan</v>
      </c>
      <c r="M60" t="str">
        <f t="shared" ca="1" si="20"/>
        <v>Space-saving fan for wall mounting</v>
      </c>
      <c r="N60" t="str" cm="1">
        <f t="array" aca="1" ref="N60" ca="1">INDEX($D$2:$D$101,RANDBETWEEN(1,ROWS(N61:N159)))</f>
        <v>Smart Toothbrush</v>
      </c>
      <c r="O60" t="str">
        <f t="shared" ca="1" si="21"/>
        <v>Electric brush with Bluetooth tracking</v>
      </c>
      <c r="P60" t="str" cm="1">
        <f t="array" aca="1" ref="P60" ca="1">INDEX($D$2:$D$101,RANDBETWEEN(1,ROWS(P61:P159)))</f>
        <v>Electric Chopper</v>
      </c>
      <c r="Q60" t="str">
        <f t="shared" ca="1" si="22"/>
        <v>Chops vegetables and fruits quickly</v>
      </c>
      <c r="R60" t="str" cm="1">
        <f t="array" aca="1" ref="R60" ca="1">INDEX($D$2:$D$101,RANDBETWEEN(1,ROWS(R61:R159)))</f>
        <v>TV Wall Mount</v>
      </c>
      <c r="S60" t="str">
        <f t="shared" ca="1" si="23"/>
        <v>Mounting bracket for flat TVs</v>
      </c>
      <c r="T60" t="str" cm="1">
        <f t="array" aca="1" ref="T60" ca="1">INDEX($D$2:$D$101,RANDBETWEEN(1,ROWS(T61:T159)))</f>
        <v>Smart Smoke Detector</v>
      </c>
      <c r="U60" t="str">
        <f t="shared" ca="1" si="24"/>
        <v>Smoke alarm with smart alerts</v>
      </c>
      <c r="V60" t="str" cm="1">
        <f t="array" aca="1" ref="V60" ca="1">INDEX($D$2:$D$101,RANDBETWEEN(1,ROWS(V61:V159)))</f>
        <v>Smart Switch</v>
      </c>
      <c r="W60" t="str">
        <f t="shared" ca="1" si="25"/>
        <v>Wi-Fi-enabled wall switch for remote operation</v>
      </c>
      <c r="X60" t="str" cm="1">
        <f t="array" aca="1" ref="X60" ca="1">INDEX($D$2:$D$101,RANDBETWEEN(1,ROWS(X61:X159)))</f>
        <v>Kitchen Timer</v>
      </c>
      <c r="Y60" t="str">
        <f t="shared" ca="1" si="26"/>
        <v>Digital countdown timer for cooking</v>
      </c>
      <c r="Z60" t="str" cm="1">
        <f t="array" aca="1" ref="Z60" ca="1">INDEX($D$2:$D$101,RANDBETWEEN(1,ROWS(Z61:Z159)))</f>
        <v>Roti Maker</v>
      </c>
      <c r="AA60" t="str">
        <f t="shared" ca="1" si="27"/>
        <v>Flattens and cooks Indian flatbreads</v>
      </c>
      <c r="AB60" t="str" cm="1">
        <f t="array" aca="1" ref="AB60" ca="1">INDEX($D$2:$D$101,RANDBETWEEN(1,ROWS(AB61:AB159)))</f>
        <v>Ultrasonic Humidifier</v>
      </c>
      <c r="AC60" t="str">
        <f t="shared" ca="1" si="28"/>
        <v>Mist-based humidifier using ultrasonic vibrations</v>
      </c>
      <c r="AD60" t="str" cm="1">
        <f t="array" aca="1" ref="AD60" ca="1">INDEX($D$2:$D$101,RANDBETWEEN(1,ROWS(AD61:AD159)))</f>
        <v>Car Subwoofer</v>
      </c>
      <c r="AE60" t="str">
        <f t="shared" ca="1" si="29"/>
        <v>Audio upgrade for car music systems</v>
      </c>
      <c r="AF60" t="str" cm="1">
        <f t="array" aca="1" ref="AF60" ca="1">INDEX($D$2:$D$101,RANDBETWEEN(1,ROWS(AF61:AF159)))</f>
        <v>Portable Air Conditioner</v>
      </c>
      <c r="AG60" t="str">
        <f t="shared" ca="1" si="30"/>
        <v>Compact AC unit for small spaces</v>
      </c>
      <c r="AH60" t="str" cm="1">
        <f t="array" aca="1" ref="AH60" ca="1">INDEX($D$2:$D$101,RANDBETWEEN(1,ROWS(AH61:AH159)))</f>
        <v>Espresso Machine</v>
      </c>
      <c r="AI60" t="str">
        <f t="shared" ca="1" si="31"/>
        <v>Makes espresso coffee drinks</v>
      </c>
      <c r="AJ60" t="str" cm="1">
        <f t="array" aca="1" ref="AJ60" ca="1">INDEX($D$2:$D$101,RANDBETWEEN(1,ROWS(AJ61:AJ159)))</f>
        <v>Smart Microwave</v>
      </c>
      <c r="AK60" t="str">
        <f t="shared" ca="1" si="35"/>
        <v>Microwave with voice or app control</v>
      </c>
      <c r="AL60" t="str" cm="1">
        <f t="array" aca="1" ref="AL60" ca="1">INDEX($D$2:$D$101,RANDBETWEEN(1,ROWS(AL61:AL159)))</f>
        <v>Smart Doorbell</v>
      </c>
      <c r="AM60" t="str">
        <f t="shared" ca="1" si="32"/>
        <v>Wi-Fi-enabled doorbell with camera and intercom</v>
      </c>
      <c r="AN60" t="str" cm="1">
        <f t="array" aca="1" ref="AN60" ca="1">INDEX($D$2:$D$101,RANDBETWEEN(1,ROWS(AN61:AN159)))</f>
        <v>Inverter AC</v>
      </c>
      <c r="AO60" t="str">
        <f t="shared" ca="1" si="33"/>
        <v>Energy-efficient air conditioner</v>
      </c>
      <c r="AP60" t="str" cm="1">
        <f t="array" aca="1" ref="AP60" ca="1">INDEX($D$2:$D$101,RANDBETWEEN(1,ROWS(AP61:AP159)))</f>
        <v>Callus Remover</v>
      </c>
      <c r="AQ60" t="str">
        <f t="shared" ca="1" si="34"/>
        <v>Removes dead skin from feet</v>
      </c>
    </row>
    <row r="61" spans="1:43" ht="20.5" customHeight="1" x14ac:dyDescent="0.3">
      <c r="A61" s="22">
        <v>160</v>
      </c>
      <c r="B61" t="s">
        <v>377</v>
      </c>
      <c r="C61" t="s">
        <v>197</v>
      </c>
      <c r="D61" s="1" t="s">
        <v>198</v>
      </c>
      <c r="E61" s="1" t="s">
        <v>199</v>
      </c>
      <c r="F61" t="str" cm="1">
        <f t="array" aca="1" ref="F61" ca="1">INDEX($D$2:$D$101,RANDBETWEEN(1,ROWS(F62:F160)))</f>
        <v>Meat Grinder</v>
      </c>
      <c r="G61" t="str">
        <f t="shared" ca="1" si="0"/>
        <v>Grinds meat for home cooking</v>
      </c>
      <c r="H61" t="str" cm="1">
        <f t="array" aca="1" ref="H61" ca="1">INDEX($D$2:$D$101,RANDBETWEEN(1,ROWS(H62:H160)))</f>
        <v>Portable Air Conditioner</v>
      </c>
      <c r="I61" t="str">
        <f t="shared" ca="1" si="18"/>
        <v>Compact AC unit for small spaces</v>
      </c>
      <c r="J61" t="str" cm="1">
        <f t="array" aca="1" ref="J61" ca="1">INDEX($D$2:$D$101,RANDBETWEEN(1,ROWS(J62:J160)))</f>
        <v>Water Dispenser</v>
      </c>
      <c r="K61" t="str">
        <f t="shared" ca="1" si="19"/>
        <v>Dispenses hot and cold water</v>
      </c>
      <c r="L61" t="str" cm="1">
        <f t="array" aca="1" ref="L61" ca="1">INDEX($D$2:$D$101,RANDBETWEEN(1,ROWS(L62:L160)))</f>
        <v>Electric Facial Brush</v>
      </c>
      <c r="M61" t="str">
        <f t="shared" ca="1" si="20"/>
        <v>Cleansing brush for exfoliation</v>
      </c>
      <c r="N61" t="str" cm="1">
        <f t="array" aca="1" ref="N61" ca="1">INDEX($D$2:$D$101,RANDBETWEEN(1,ROWS(N62:N160)))</f>
        <v>Hair Removal Epilator</v>
      </c>
      <c r="O61" t="str">
        <f t="shared" ca="1" si="21"/>
        <v>Plucks hair from root electrically</v>
      </c>
      <c r="P61" t="str" cm="1">
        <f t="array" aca="1" ref="P61" ca="1">INDEX($D$2:$D$101,RANDBETWEEN(1,ROWS(P62:P160)))</f>
        <v>Water Dispenser</v>
      </c>
      <c r="Q61" t="str">
        <f t="shared" ca="1" si="22"/>
        <v>Dispenses hot and cold water</v>
      </c>
      <c r="R61" t="str" cm="1">
        <f t="array" aca="1" ref="R61" ca="1">INDEX($D$2:$D$101,RANDBETWEEN(1,ROWS(R62:R160)))</f>
        <v>Electric Egg Beater</v>
      </c>
      <c r="S61" t="str">
        <f t="shared" ca="1" si="23"/>
        <v>Handheld electric whisk for baking</v>
      </c>
      <c r="T61" t="str" cm="1">
        <f t="array" aca="1" ref="T61" ca="1">INDEX($D$2:$D$101,RANDBETWEEN(1,ROWS(T62:T160)))</f>
        <v>Dashcam Rear Camera</v>
      </c>
      <c r="U61" t="str">
        <f t="shared" ca="1" si="24"/>
        <v>Rear view recording for vehicles</v>
      </c>
      <c r="V61" t="str" cm="1">
        <f t="array" aca="1" ref="V61" ca="1">INDEX($D$2:$D$101,RANDBETWEEN(1,ROWS(V62:V160)))</f>
        <v>Smart Geyser</v>
      </c>
      <c r="W61" t="str">
        <f t="shared" ca="1" si="25"/>
        <v>Internet-connected water heater</v>
      </c>
      <c r="X61" t="str" cm="1">
        <f t="array" aca="1" ref="X61" ca="1">INDEX($D$2:$D$101,RANDBETWEEN(1,ROWS(X62:X160)))</f>
        <v>Extension Board with USB</v>
      </c>
      <c r="Y61" t="str">
        <f t="shared" ca="1" si="26"/>
        <v>Power strip with USB charging ports</v>
      </c>
      <c r="Z61" t="str" cm="1">
        <f t="array" aca="1" ref="Z61" ca="1">INDEX($D$2:$D$101,RANDBETWEEN(1,ROWS(Z62:Z160)))</f>
        <v>Rechargeable Torch</v>
      </c>
      <c r="AA61" t="str">
        <f t="shared" ca="1" si="27"/>
        <v>Flashlight that can be recharged</v>
      </c>
      <c r="AB61" t="str" cm="1">
        <f t="array" aca="1" ref="AB61" ca="1">INDEX($D$2:$D$101,RANDBETWEEN(1,ROWS(AB62:AB160)))</f>
        <v>Smart Air Conditioner</v>
      </c>
      <c r="AC61" t="str">
        <f t="shared" ca="1" si="28"/>
        <v>AC unit controllable via smartphone or voice</v>
      </c>
      <c r="AD61" t="str" cm="1">
        <f t="array" aca="1" ref="AD61" ca="1">INDEX($D$2:$D$101,RANDBETWEEN(1,ROWS(AD62:AD160)))</f>
        <v>Smart Rearview Mirror</v>
      </c>
      <c r="AE61" t="str">
        <f t="shared" ca="1" si="29"/>
        <v>Touchscreen mirror with GPS and camera</v>
      </c>
      <c r="AF61" t="str" cm="1">
        <f t="array" aca="1" ref="AF61" ca="1">INDEX($D$2:$D$101,RANDBETWEEN(1,ROWS(AF62:AF160)))</f>
        <v>Robot Vacuum Cleaner</v>
      </c>
      <c r="AG61" t="str">
        <f t="shared" ca="1" si="30"/>
        <v>Automated floor cleaning device</v>
      </c>
      <c r="AH61" t="str" cm="1">
        <f t="array" aca="1" ref="AH61" ca="1">INDEX($D$2:$D$101,RANDBETWEEN(1,ROWS(AH62:AH160)))</f>
        <v>Magnetic Charging Cable</v>
      </c>
      <c r="AI61" t="str">
        <f t="shared" ca="1" si="31"/>
        <v>Detachable magnetic USB cable</v>
      </c>
      <c r="AJ61" t="str" cm="1">
        <f t="array" aca="1" ref="AJ61" ca="1">INDEX($D$2:$D$101,RANDBETWEEN(1,ROWS(AJ62:AJ160)))</f>
        <v>Car Subwoofer</v>
      </c>
      <c r="AK61" t="str">
        <f t="shared" ca="1" si="35"/>
        <v>Audio upgrade for car music systems</v>
      </c>
      <c r="AL61" t="str" cm="1">
        <f t="array" aca="1" ref="AL61" ca="1">INDEX($D$2:$D$101,RANDBETWEEN(1,ROWS(AL62:AL160)))</f>
        <v>Meat Grinder</v>
      </c>
      <c r="AM61" t="str">
        <f t="shared" ca="1" si="32"/>
        <v>Grinds meat for home cooking</v>
      </c>
      <c r="AN61" t="str" cm="1">
        <f t="array" aca="1" ref="AN61" ca="1">INDEX($D$2:$D$101,RANDBETWEEN(1,ROWS(AN62:AN160)))</f>
        <v>Electric Grill</v>
      </c>
      <c r="AO61" t="str">
        <f t="shared" ca="1" si="33"/>
        <v>Indoor grill for meat and vegetables</v>
      </c>
      <c r="AP61" t="str" cm="1">
        <f t="array" aca="1" ref="AP61" ca="1">INDEX($D$2:$D$101,RANDBETWEEN(1,ROWS(AP62:AP160)))</f>
        <v>UV Sterilizer Box</v>
      </c>
      <c r="AQ61" t="str">
        <f t="shared" ca="1" si="34"/>
        <v>Disinfects small items using UV light</v>
      </c>
    </row>
    <row r="62" spans="1:43" ht="20.5" customHeight="1" x14ac:dyDescent="0.3">
      <c r="A62" s="22">
        <v>161</v>
      </c>
      <c r="B62" t="s">
        <v>378</v>
      </c>
      <c r="C62" t="s">
        <v>200</v>
      </c>
      <c r="D62" s="1" t="s">
        <v>201</v>
      </c>
      <c r="E62" s="1" t="s">
        <v>202</v>
      </c>
      <c r="F62" t="str" cm="1">
        <f t="array" aca="1" ref="F62" ca="1">INDEX($D$2:$D$101,RANDBETWEEN(1,ROWS(F63:F161)))</f>
        <v>Automatic Hand Sanitizer</v>
      </c>
      <c r="G62" t="str">
        <f t="shared" ca="1" si="0"/>
        <v>Touchless sanitizer dispenser</v>
      </c>
      <c r="H62" t="str" cm="1">
        <f t="array" aca="1" ref="H62" ca="1">INDEX($D$2:$D$101,RANDBETWEEN(1,ROWS(H63:H161)))</f>
        <v>USB-C Docking Station</v>
      </c>
      <c r="I62" t="str">
        <f t="shared" ca="1" si="18"/>
        <v>Expands ports for laptops</v>
      </c>
      <c r="J62" t="str" cm="1">
        <f t="array" aca="1" ref="J62" ca="1">INDEX($D$2:$D$101,RANDBETWEEN(1,ROWS(J63:J161)))</f>
        <v>LED Strip with Remote</v>
      </c>
      <c r="K62" t="str">
        <f t="shared" ca="1" si="19"/>
        <v>Customizable LED lighting with remote control</v>
      </c>
      <c r="L62" t="str" cm="1">
        <f t="array" aca="1" ref="L62" ca="1">INDEX($D$2:$D$101,RANDBETWEEN(1,ROWS(L63:L161)))</f>
        <v>Heated Eyelash Curler</v>
      </c>
      <c r="M62" t="str">
        <f t="shared" ca="1" si="20"/>
        <v>Shapes eyelashes with gentle heat</v>
      </c>
      <c r="N62" t="str" cm="1">
        <f t="array" aca="1" ref="N62" ca="1">INDEX($D$2:$D$101,RANDBETWEEN(1,ROWS(N63:N161)))</f>
        <v>Tower Fan</v>
      </c>
      <c r="O62" t="str">
        <f t="shared" ca="1" si="21"/>
        <v>Space-saving vertical fan</v>
      </c>
      <c r="P62" t="str" cm="1">
        <f t="array" aca="1" ref="P62" ca="1">INDEX($D$2:$D$101,RANDBETWEEN(1,ROWS(P63:P161)))</f>
        <v>Kitchen Timer</v>
      </c>
      <c r="Q62" t="str">
        <f t="shared" ca="1" si="22"/>
        <v>Digital countdown timer for cooking</v>
      </c>
      <c r="R62" t="str" cm="1">
        <f t="array" aca="1" ref="R62" ca="1">INDEX($D$2:$D$101,RANDBETWEEN(1,ROWS(R63:R161)))</f>
        <v>Robot Vacuum Cleaner</v>
      </c>
      <c r="S62" t="str">
        <f t="shared" ca="1" si="23"/>
        <v>Automated floor cleaning device</v>
      </c>
      <c r="T62" t="str" cm="1">
        <f t="array" aca="1" ref="T62" ca="1">INDEX($D$2:$D$101,RANDBETWEEN(1,ROWS(T63:T161)))</f>
        <v>Facial Steamer</v>
      </c>
      <c r="U62" t="str">
        <f t="shared" ca="1" si="24"/>
        <v>Opens pores for skincare routine</v>
      </c>
      <c r="V62" t="str" cm="1">
        <f t="array" aca="1" ref="V62" ca="1">INDEX($D$2:$D$101,RANDBETWEEN(1,ROWS(V63:V161)))</f>
        <v>Smart Alarm Clock</v>
      </c>
      <c r="W62" t="str">
        <f t="shared" ca="1" si="25"/>
        <v>Alarm with smart features like weather, music, and lights</v>
      </c>
      <c r="X62" t="str" cm="1">
        <f t="array" aca="1" ref="X62" ca="1">INDEX($D$2:$D$101,RANDBETWEEN(1,ROWS(X63:X161)))</f>
        <v>Smart Microwave</v>
      </c>
      <c r="Y62" t="str">
        <f t="shared" ca="1" si="26"/>
        <v>Microwave with voice or app control</v>
      </c>
      <c r="Z62" t="str" cm="1">
        <f t="array" aca="1" ref="Z62" ca="1">INDEX($D$2:$D$101,RANDBETWEEN(1,ROWS(Z63:Z161)))</f>
        <v>HDMI Cable</v>
      </c>
      <c r="AA62" t="str">
        <f t="shared" ca="1" si="27"/>
        <v>Transfers audio/video signals</v>
      </c>
      <c r="AB62" t="str" cm="1">
        <f t="array" aca="1" ref="AB62" ca="1">INDEX($D$2:$D$101,RANDBETWEEN(1,ROWS(AB63:AB161)))</f>
        <v>Air Humidifier with Light</v>
      </c>
      <c r="AC62" t="str">
        <f t="shared" ca="1" si="28"/>
        <v>Adds moisture and includes night light feature</v>
      </c>
      <c r="AD62" t="str" cm="1">
        <f t="array" aca="1" ref="AD62" ca="1">INDEX($D$2:$D$101,RANDBETWEEN(1,ROWS(AD63:AD161)))</f>
        <v>Tower Fan</v>
      </c>
      <c r="AE62" t="str">
        <f t="shared" ca="1" si="29"/>
        <v>Space-saving vertical fan</v>
      </c>
      <c r="AF62" t="str" cm="1">
        <f t="array" aca="1" ref="AF62" ca="1">INDEX($D$2:$D$101,RANDBETWEEN(1,ROWS(AF63:AF161)))</f>
        <v>Automatic Hand Sanitizer</v>
      </c>
      <c r="AG62" t="str">
        <f t="shared" ca="1" si="30"/>
        <v>Touchless sanitizer dispenser</v>
      </c>
      <c r="AH62" t="str" cm="1">
        <f t="array" aca="1" ref="AH62" ca="1">INDEX($D$2:$D$101,RANDBETWEEN(1,ROWS(AH63:AH161)))</f>
        <v>LED Strip with Remote</v>
      </c>
      <c r="AI62" t="str">
        <f t="shared" ca="1" si="31"/>
        <v>Customizable LED lighting with remote control</v>
      </c>
      <c r="AJ62" t="str" cm="1">
        <f t="array" aca="1" ref="AJ62" ca="1">INDEX($D$2:$D$101,RANDBETWEEN(1,ROWS(AJ63:AJ161)))</f>
        <v>Portable Power Station</v>
      </c>
      <c r="AK62" t="str">
        <f t="shared" ca="1" si="35"/>
        <v>Rechargeable power supply for outdoors</v>
      </c>
      <c r="AL62" t="str" cm="1">
        <f t="array" aca="1" ref="AL62" ca="1">INDEX($D$2:$D$101,RANDBETWEEN(1,ROWS(AL63:AL161)))</f>
        <v>Egg Boiler</v>
      </c>
      <c r="AM62" t="str">
        <f t="shared" ca="1" si="32"/>
        <v>Automatically boils eggs</v>
      </c>
      <c r="AN62" t="str" cm="1">
        <f t="array" aca="1" ref="AN62" ca="1">INDEX($D$2:$D$101,RANDBETWEEN(1,ROWS(AN63:AN161)))</f>
        <v>Motion Sensor Light</v>
      </c>
      <c r="AO62" t="str">
        <f t="shared" ca="1" si="33"/>
        <v>Lights that activate on movement</v>
      </c>
      <c r="AP62" t="str" cm="1">
        <f t="array" aca="1" ref="AP62" ca="1">INDEX($D$2:$D$101,RANDBETWEEN(1,ROWS(AP63:AP161)))</f>
        <v>Smart Smoke Detector</v>
      </c>
      <c r="AQ62" t="str">
        <f t="shared" ca="1" si="34"/>
        <v>Smoke alarm with smart alerts</v>
      </c>
    </row>
    <row r="63" spans="1:43" ht="20.5" customHeight="1" x14ac:dyDescent="0.3">
      <c r="A63" s="22">
        <v>162</v>
      </c>
      <c r="B63" t="s">
        <v>379</v>
      </c>
      <c r="C63" t="s">
        <v>203</v>
      </c>
      <c r="D63" s="1" t="s">
        <v>204</v>
      </c>
      <c r="E63" s="1" t="s">
        <v>205</v>
      </c>
      <c r="F63" t="str" cm="1">
        <f t="array" aca="1" ref="F63" ca="1">INDEX($D$2:$D$101,RANDBETWEEN(1,ROWS(F64:F162)))</f>
        <v>Kitchen Weighing Scale</v>
      </c>
      <c r="G63" t="str">
        <f t="shared" ca="1" si="0"/>
        <v>Measures food portions accurately</v>
      </c>
      <c r="H63" t="str" cm="1">
        <f t="array" aca="1" ref="H63" ca="1">INDEX($D$2:$D$101,RANDBETWEEN(1,ROWS(H64:H162)))</f>
        <v>Electric Egg Beater</v>
      </c>
      <c r="I63" t="str">
        <f t="shared" ca="1" si="18"/>
        <v>Handheld electric whisk for baking</v>
      </c>
      <c r="J63" t="str" cm="1">
        <f t="array" aca="1" ref="J63" ca="1">INDEX($D$2:$D$101,RANDBETWEEN(1,ROWS(J64:J162)))</f>
        <v>Smart IR Remote</v>
      </c>
      <c r="K63" t="str">
        <f t="shared" ca="1" si="19"/>
        <v>Controls appliances via smartphone</v>
      </c>
      <c r="L63" t="str" cm="1">
        <f t="array" aca="1" ref="L63" ca="1">INDEX($D$2:$D$101,RANDBETWEEN(1,ROWS(L64:L162)))</f>
        <v>Portable Power Station</v>
      </c>
      <c r="M63" t="str">
        <f t="shared" ca="1" si="20"/>
        <v>Rechargeable power supply for outdoors</v>
      </c>
      <c r="N63" t="str" cm="1">
        <f t="array" aca="1" ref="N63" ca="1">INDEX($D$2:$D$101,RANDBETWEEN(1,ROWS(N64:N162)))</f>
        <v>Smart Mosquito Repeller</v>
      </c>
      <c r="O63" t="str">
        <f t="shared" ca="1" si="21"/>
        <v>USB-powered electronic insect repeller</v>
      </c>
      <c r="P63" t="str" cm="1">
        <f t="array" aca="1" ref="P63" ca="1">INDEX($D$2:$D$101,RANDBETWEEN(1,ROWS(P64:P162)))</f>
        <v>Electric Nail File Kit</v>
      </c>
      <c r="Q63" t="str">
        <f t="shared" ca="1" si="22"/>
        <v>For manicure and pedicure at home</v>
      </c>
      <c r="R63" t="str" cm="1">
        <f t="array" aca="1" ref="R63" ca="1">INDEX($D$2:$D$101,RANDBETWEEN(1,ROWS(R64:R162)))</f>
        <v>Gas Leak Detector</v>
      </c>
      <c r="S63" t="str">
        <f t="shared" ca="1" si="23"/>
        <v>Detects gas leaks in the kitchen</v>
      </c>
      <c r="T63" t="str" cm="1">
        <f t="array" aca="1" ref="T63" ca="1">INDEX($D$2:$D$101,RANDBETWEEN(1,ROWS(T64:T162)))</f>
        <v>LED Desk Lamp</v>
      </c>
      <c r="U63" t="str">
        <f t="shared" ca="1" si="24"/>
        <v>Adjustable desk lamp with LED lighting</v>
      </c>
      <c r="V63" t="str" cm="1">
        <f t="array" aca="1" ref="V63" ca="1">INDEX($D$2:$D$101,RANDBETWEEN(1,ROWS(V64:V162)))</f>
        <v>Espresso Machine</v>
      </c>
      <c r="W63" t="str">
        <f t="shared" ca="1" si="25"/>
        <v>Makes espresso coffee drinks</v>
      </c>
      <c r="X63" t="str" cm="1">
        <f t="array" aca="1" ref="X63" ca="1">INDEX($D$2:$D$101,RANDBETWEEN(1,ROWS(X64:X162)))</f>
        <v>Motion Sensor Light</v>
      </c>
      <c r="Y63" t="str">
        <f t="shared" ca="1" si="26"/>
        <v>Lights that activate on movement</v>
      </c>
      <c r="Z63" t="str" cm="1">
        <f t="array" aca="1" ref="Z63" ca="1">INDEX($D$2:$D$101,RANDBETWEEN(1,ROWS(Z64:Z162)))</f>
        <v>Espresso Machine</v>
      </c>
      <c r="AA63" t="str">
        <f t="shared" ca="1" si="27"/>
        <v>Makes espresso coffee drinks</v>
      </c>
      <c r="AB63" t="str" cm="1">
        <f t="array" aca="1" ref="AB63" ca="1">INDEX($D$2:$D$101,RANDBETWEEN(1,ROWS(AB64:AB162)))</f>
        <v>Air Humidifier with Light</v>
      </c>
      <c r="AC63" t="str">
        <f t="shared" ca="1" si="28"/>
        <v>Adds moisture and includes night light feature</v>
      </c>
      <c r="AD63" t="str" cm="1">
        <f t="array" aca="1" ref="AD63" ca="1">INDEX($D$2:$D$101,RANDBETWEEN(1,ROWS(AD64:AD162)))</f>
        <v>Smart Toothbrush</v>
      </c>
      <c r="AE63" t="str">
        <f t="shared" ca="1" si="29"/>
        <v>Electric brush with Bluetooth tracking</v>
      </c>
      <c r="AF63" t="str" cm="1">
        <f t="array" aca="1" ref="AF63" ca="1">INDEX($D$2:$D$101,RANDBETWEEN(1,ROWS(AF64:AF162)))</f>
        <v>HDMI Switch</v>
      </c>
      <c r="AG63" t="str">
        <f t="shared" ca="1" si="30"/>
        <v>Connects multiple HDMI devices</v>
      </c>
      <c r="AH63" t="str" cm="1">
        <f t="array" aca="1" ref="AH63" ca="1">INDEX($D$2:$D$101,RANDBETWEEN(1,ROWS(AH64:AH162)))</f>
        <v>Portable Car Heater</v>
      </c>
      <c r="AI63" t="str">
        <f t="shared" ca="1" si="31"/>
        <v>12V heater for car interiors</v>
      </c>
      <c r="AJ63" t="str" cm="1">
        <f t="array" aca="1" ref="AJ63" ca="1">INDEX($D$2:$D$101,RANDBETWEEN(1,ROWS(AJ64:AJ162)))</f>
        <v>Cord Organizer Box</v>
      </c>
      <c r="AK63" t="str">
        <f t="shared" ca="1" si="35"/>
        <v>Box to hide and manage power strips</v>
      </c>
      <c r="AL63" t="str" cm="1">
        <f t="array" aca="1" ref="AL63" ca="1">INDEX($D$2:$D$101,RANDBETWEEN(1,ROWS(AL64:AL162)))</f>
        <v>Portable Induction Stove</v>
      </c>
      <c r="AM63" t="str">
        <f t="shared" ca="1" si="32"/>
        <v>Lightweight induction stove for mobile cooking</v>
      </c>
      <c r="AN63" t="str" cm="1">
        <f t="array" aca="1" ref="AN63" ca="1">INDEX($D$2:$D$101,RANDBETWEEN(1,ROWS(AN64:AN162)))</f>
        <v>Robot Vacuum Cleaner</v>
      </c>
      <c r="AO63" t="str">
        <f t="shared" ca="1" si="33"/>
        <v>Automated floor cleaning device</v>
      </c>
      <c r="AP63" t="str" cm="1">
        <f t="array" aca="1" ref="AP63" ca="1">INDEX($D$2:$D$101,RANDBETWEEN(1,ROWS(AP64:AP162)))</f>
        <v>Crepe Maker</v>
      </c>
      <c r="AQ63" t="str">
        <f t="shared" ca="1" si="34"/>
        <v>Electric pan for making crepes</v>
      </c>
    </row>
    <row r="64" spans="1:43" ht="20.5" customHeight="1" x14ac:dyDescent="0.3">
      <c r="A64" s="22">
        <v>163</v>
      </c>
      <c r="B64" t="s">
        <v>380</v>
      </c>
      <c r="C64" t="s">
        <v>206</v>
      </c>
      <c r="D64" s="1" t="s">
        <v>207</v>
      </c>
      <c r="E64" s="1" t="s">
        <v>208</v>
      </c>
      <c r="F64" t="str" cm="1">
        <f t="array" aca="1" ref="F64" ca="1">INDEX($D$2:$D$101,RANDBETWEEN(1,ROWS(F65:F163)))</f>
        <v>Smart Smoke Detector</v>
      </c>
      <c r="G64" t="str">
        <f t="shared" ca="1" si="0"/>
        <v>Smoke alarm with smart alerts</v>
      </c>
      <c r="H64" t="str" cm="1">
        <f t="array" aca="1" ref="H64" ca="1">INDEX($D$2:$D$101,RANDBETWEEN(1,ROWS(H65:H163)))</f>
        <v>Air Humidifier with Light</v>
      </c>
      <c r="I64" t="str">
        <f t="shared" ca="1" si="18"/>
        <v>Adds moisture and includes night light feature</v>
      </c>
      <c r="J64" t="str" cm="1">
        <f t="array" aca="1" ref="J64" ca="1">INDEX($D$2:$D$101,RANDBETWEEN(1,ROWS(J65:J163)))</f>
        <v>Smart Switch</v>
      </c>
      <c r="K64" t="str">
        <f t="shared" ca="1" si="19"/>
        <v>Wi-Fi-enabled wall switch for remote operation</v>
      </c>
      <c r="L64" t="str" cm="1">
        <f t="array" aca="1" ref="L64" ca="1">INDEX($D$2:$D$101,RANDBETWEEN(1,ROWS(L65:L163)))</f>
        <v>Electric Chopper</v>
      </c>
      <c r="M64" t="str">
        <f t="shared" ca="1" si="20"/>
        <v>Chops vegetables and fruits quickly</v>
      </c>
      <c r="N64" t="str" cm="1">
        <f t="array" aca="1" ref="N64" ca="1">INDEX($D$2:$D$101,RANDBETWEEN(1,ROWS(N65:N163)))</f>
        <v>Laptop Stand</v>
      </c>
      <c r="O64" t="str">
        <f t="shared" ca="1" si="21"/>
        <v>Raises laptop for ergonomic use</v>
      </c>
      <c r="P64" t="str" cm="1">
        <f t="array" aca="1" ref="P64" ca="1">INDEX($D$2:$D$101,RANDBETWEEN(1,ROWS(P65:P163)))</f>
        <v>Mini Fridge</v>
      </c>
      <c r="Q64" t="str">
        <f t="shared" ca="1" si="22"/>
        <v>Compact refrigerator for beverages</v>
      </c>
      <c r="R64" t="str" cm="1">
        <f t="array" aca="1" ref="R64" ca="1">INDEX($D$2:$D$101,RANDBETWEEN(1,ROWS(R65:R163)))</f>
        <v>Espresso Machine</v>
      </c>
      <c r="S64" t="str">
        <f t="shared" ca="1" si="23"/>
        <v>Makes espresso coffee drinks</v>
      </c>
      <c r="T64" t="str" cm="1">
        <f t="array" aca="1" ref="T64" ca="1">INDEX($D$2:$D$101,RANDBETWEEN(1,ROWS(T65:T163)))</f>
        <v>Smart Air Conditioner</v>
      </c>
      <c r="U64" t="str">
        <f t="shared" ca="1" si="24"/>
        <v>AC unit controllable via smartphone or voice</v>
      </c>
      <c r="V64" t="str" cm="1">
        <f t="array" aca="1" ref="V64" ca="1">INDEX($D$2:$D$101,RANDBETWEEN(1,ROWS(V65:V163)))</f>
        <v>Smart Ceiling Light</v>
      </c>
      <c r="W64" t="str">
        <f t="shared" ca="1" si="25"/>
        <v>Wi-Fi-enabled, color-changing ceiling light</v>
      </c>
      <c r="X64" t="str" cm="1">
        <f t="array" aca="1" ref="X64" ca="1">INDEX($D$2:$D$101,RANDBETWEEN(1,ROWS(X65:X163)))</f>
        <v>Kitchen Timer</v>
      </c>
      <c r="Y64" t="str">
        <f t="shared" ca="1" si="26"/>
        <v>Digital countdown timer for cooking</v>
      </c>
      <c r="Z64" t="str" cm="1">
        <f t="array" aca="1" ref="Z64" ca="1">INDEX($D$2:$D$101,RANDBETWEEN(1,ROWS(Z65:Z163)))</f>
        <v>Plug-in Night Light</v>
      </c>
      <c r="AA64" t="str">
        <f t="shared" ca="1" si="27"/>
        <v>Low-power night light for rooms</v>
      </c>
      <c r="AB64" t="str" cm="1">
        <f t="array" aca="1" ref="AB64" ca="1">INDEX($D$2:$D$101,RANDBETWEEN(1,ROWS(AB65:AB163)))</f>
        <v>Water Dispenser</v>
      </c>
      <c r="AC64" t="str">
        <f t="shared" ca="1" si="28"/>
        <v>Dispenses hot and cold water</v>
      </c>
      <c r="AD64" t="str" cm="1">
        <f t="array" aca="1" ref="AD64" ca="1">INDEX($D$2:$D$101,RANDBETWEEN(1,ROWS(AD65:AD163)))</f>
        <v>Smart Weighing Scale</v>
      </c>
      <c r="AE64" t="str">
        <f t="shared" ca="1" si="29"/>
        <v>Body scale with app sync and health data</v>
      </c>
      <c r="AF64" t="str" cm="1">
        <f t="array" aca="1" ref="AF64" ca="1">INDEX($D$2:$D$101,RANDBETWEEN(1,ROWS(AF65:AF163)))</f>
        <v>Plug-in Night Light</v>
      </c>
      <c r="AG64" t="str">
        <f t="shared" ca="1" si="30"/>
        <v>Low-power night light for rooms</v>
      </c>
      <c r="AH64" t="str" cm="1">
        <f t="array" aca="1" ref="AH64" ca="1">INDEX($D$2:$D$101,RANDBETWEEN(1,ROWS(AH65:AH163)))</f>
        <v>Bluetooth Alarm Clock</v>
      </c>
      <c r="AI64" t="str">
        <f t="shared" ca="1" si="31"/>
        <v>Combines alarm with Bluetooth speaker</v>
      </c>
      <c r="AJ64" t="str" cm="1">
        <f t="array" aca="1" ref="AJ64" ca="1">INDEX($D$2:$D$101,RANDBETWEEN(1,ROWS(AJ65:AJ163)))</f>
        <v>Smart Toothbrush</v>
      </c>
      <c r="AK64" t="str">
        <f t="shared" ca="1" si="35"/>
        <v>Electric brush with Bluetooth tracking</v>
      </c>
      <c r="AL64" t="str" cm="1">
        <f t="array" aca="1" ref="AL64" ca="1">INDEX($D$2:$D$101,RANDBETWEEN(1,ROWS(AL65:AL163)))</f>
        <v>Smart Microwave</v>
      </c>
      <c r="AM64" t="str">
        <f t="shared" ca="1" si="32"/>
        <v>Microwave with voice or app control</v>
      </c>
      <c r="AN64" t="str" cm="1">
        <f t="array" aca="1" ref="AN64" ca="1">INDEX($D$2:$D$101,RANDBETWEEN(1,ROWS(AN65:AN163)))</f>
        <v>Subwoofer</v>
      </c>
      <c r="AO64" t="str">
        <f t="shared" ca="1" si="33"/>
        <v>Deep bass audio speaker</v>
      </c>
      <c r="AP64" t="str" cm="1">
        <f t="array" aca="1" ref="AP64" ca="1">INDEX($D$2:$D$101,RANDBETWEEN(1,ROWS(AP65:AP163)))</f>
        <v>Electric Water Boiler</v>
      </c>
      <c r="AQ64" t="str">
        <f t="shared" ca="1" si="34"/>
        <v>Quickly boils large volumes of water</v>
      </c>
    </row>
    <row r="65" spans="1:43" ht="20.5" customHeight="1" x14ac:dyDescent="0.3">
      <c r="A65" s="22">
        <v>164</v>
      </c>
      <c r="B65" t="s">
        <v>381</v>
      </c>
      <c r="C65" t="s">
        <v>209</v>
      </c>
      <c r="D65" s="1" t="s">
        <v>210</v>
      </c>
      <c r="E65" s="1" t="s">
        <v>211</v>
      </c>
      <c r="F65" t="str" cm="1">
        <f t="array" aca="1" ref="F65" ca="1">INDEX($D$2:$D$101,RANDBETWEEN(1,ROWS(F66:F164)))</f>
        <v>DisplayPort Cable</v>
      </c>
      <c r="G65" t="str">
        <f t="shared" ca="1" si="0"/>
        <v>High-resolution monitor cable</v>
      </c>
      <c r="H65" t="str" cm="1">
        <f t="array" aca="1" ref="H65" ca="1">INDEX($D$2:$D$101,RANDBETWEEN(1,ROWS(H66:H164)))</f>
        <v>Desktop Air Purifier</v>
      </c>
      <c r="I65" t="str">
        <f t="shared" ca="1" si="18"/>
        <v>Compact purifier for desks</v>
      </c>
      <c r="J65" t="str" cm="1">
        <f t="array" aca="1" ref="J65" ca="1">INDEX($D$2:$D$101,RANDBETWEEN(1,ROWS(J66:J164)))</f>
        <v>Smart Rearview Mirror</v>
      </c>
      <c r="K65" t="str">
        <f t="shared" ca="1" si="19"/>
        <v>Touchscreen mirror with GPS and camera</v>
      </c>
      <c r="L65" t="str" cm="1">
        <f t="array" aca="1" ref="L65" ca="1">INDEX($D$2:$D$101,RANDBETWEEN(1,ROWS(L66:L164)))</f>
        <v>Pedestal Fan</v>
      </c>
      <c r="M65" t="str">
        <f t="shared" ca="1" si="20"/>
        <v>Adjustable stand fan for personal cooling</v>
      </c>
      <c r="N65" t="str" cm="1">
        <f t="array" aca="1" ref="N65" ca="1">INDEX($D$2:$D$101,RANDBETWEEN(1,ROWS(N66:N164)))</f>
        <v>HDMI Switch</v>
      </c>
      <c r="O65" t="str">
        <f t="shared" ca="1" si="21"/>
        <v>Connects multiple HDMI devices</v>
      </c>
      <c r="P65" t="str" cm="1">
        <f t="array" aca="1" ref="P65" ca="1">INDEX($D$2:$D$101,RANDBETWEEN(1,ROWS(P66:P164)))</f>
        <v>Ceiling Light with Fan</v>
      </c>
      <c r="Q65" t="str">
        <f t="shared" ca="1" si="22"/>
        <v>Dual-function decorative ceiling light with built-in fan</v>
      </c>
      <c r="R65" t="str" cm="1">
        <f t="array" aca="1" ref="R65" ca="1">INDEX($D$2:$D$101,RANDBETWEEN(1,ROWS(R66:R164)))</f>
        <v>Cord Organizer Box</v>
      </c>
      <c r="S65" t="str">
        <f t="shared" ca="1" si="23"/>
        <v>Box to hide and manage power strips</v>
      </c>
      <c r="T65" t="str" cm="1">
        <f t="array" aca="1" ref="T65" ca="1">INDEX($D$2:$D$101,RANDBETWEEN(1,ROWS(T66:T164)))</f>
        <v>Smart Smoke Detector</v>
      </c>
      <c r="U65" t="str">
        <f t="shared" ca="1" si="24"/>
        <v>Smoke alarm with smart alerts</v>
      </c>
      <c r="V65" t="str" cm="1">
        <f t="array" aca="1" ref="V65" ca="1">INDEX($D$2:$D$101,RANDBETWEEN(1,ROWS(V66:V164)))</f>
        <v>Digital Multimeter</v>
      </c>
      <c r="W65" t="str">
        <f t="shared" ca="1" si="25"/>
        <v>Measures voltage, current, resistance</v>
      </c>
      <c r="X65" t="str" cm="1">
        <f t="array" aca="1" ref="X65" ca="1">INDEX($D$2:$D$101,RANDBETWEEN(1,ROWS(X66:X164)))</f>
        <v>Gas Leak Detector</v>
      </c>
      <c r="Y65" t="str">
        <f t="shared" ca="1" si="26"/>
        <v>Detects gas leaks in the kitchen</v>
      </c>
      <c r="Z65" t="str" cm="1">
        <f t="array" aca="1" ref="Z65" ca="1">INDEX($D$2:$D$101,RANDBETWEEN(1,ROWS(Z66:Z164)))</f>
        <v>Bread Maker</v>
      </c>
      <c r="AA65" t="str">
        <f t="shared" ca="1" si="27"/>
        <v>Automatically bakes fresh bread</v>
      </c>
      <c r="AB65" t="str" cm="1">
        <f t="array" aca="1" ref="AB65" ca="1">INDEX($D$2:$D$101,RANDBETWEEN(1,ROWS(AB66:AB164)))</f>
        <v>Waffle Maker</v>
      </c>
      <c r="AC65" t="str">
        <f t="shared" ca="1" si="28"/>
        <v>Makes waffles at home</v>
      </c>
      <c r="AD65" t="str" cm="1">
        <f t="array" aca="1" ref="AD65" ca="1">INDEX($D$2:$D$101,RANDBETWEEN(1,ROWS(AD66:AD164)))</f>
        <v>Ceiling Light with Fan</v>
      </c>
      <c r="AE65" t="str">
        <f t="shared" ca="1" si="29"/>
        <v>Dual-function decorative ceiling light with built-in fan</v>
      </c>
      <c r="AF65" t="str" cm="1">
        <f t="array" aca="1" ref="AF65" ca="1">INDEX($D$2:$D$101,RANDBETWEEN(1,ROWS(AF66:AF164)))</f>
        <v>Water Dispenser</v>
      </c>
      <c r="AG65" t="str">
        <f t="shared" ca="1" si="30"/>
        <v>Dispenses hot and cold water</v>
      </c>
      <c r="AH65" t="str" cm="1">
        <f t="array" aca="1" ref="AH65" ca="1">INDEX($D$2:$D$101,RANDBETWEEN(1,ROWS(AH66:AH164)))</f>
        <v>Smart Toothbrush</v>
      </c>
      <c r="AI65" t="str">
        <f t="shared" ca="1" si="31"/>
        <v>Electric brush with Bluetooth tracking</v>
      </c>
      <c r="AJ65" t="str" cm="1">
        <f t="array" aca="1" ref="AJ65" ca="1">INDEX($D$2:$D$101,RANDBETWEEN(1,ROWS(AJ66:AJ164)))</f>
        <v>Smart Toothbrush</v>
      </c>
      <c r="AK65" t="str">
        <f t="shared" ca="1" si="35"/>
        <v>Electric brush with Bluetooth tracking</v>
      </c>
      <c r="AL65" t="str" cm="1">
        <f t="array" aca="1" ref="AL65" ca="1">INDEX($D$2:$D$101,RANDBETWEEN(1,ROWS(AL66:AL164)))</f>
        <v>Indoor Thermometer</v>
      </c>
      <c r="AM65" t="str">
        <f t="shared" ca="1" si="32"/>
        <v>Displays indoor temperature</v>
      </c>
      <c r="AN65" t="str" cm="1">
        <f t="array" aca="1" ref="AN65" ca="1">INDEX($D$2:$D$101,RANDBETWEEN(1,ROWS(AN66:AN164)))</f>
        <v>Portable Air Conditioner</v>
      </c>
      <c r="AO65" t="str">
        <f t="shared" ca="1" si="33"/>
        <v>Compact AC unit for small spaces</v>
      </c>
      <c r="AP65" t="str" cm="1">
        <f t="array" aca="1" ref="AP65" ca="1">INDEX($D$2:$D$101,RANDBETWEEN(1,ROWS(AP66:AP164)))</f>
        <v>Callus Remover</v>
      </c>
      <c r="AQ65" t="str">
        <f t="shared" ca="1" si="34"/>
        <v>Removes dead skin from feet</v>
      </c>
    </row>
    <row r="66" spans="1:43" ht="20.5" customHeight="1" x14ac:dyDescent="0.3">
      <c r="A66" s="22">
        <v>165</v>
      </c>
      <c r="B66" t="s">
        <v>382</v>
      </c>
      <c r="C66" t="s">
        <v>212</v>
      </c>
      <c r="D66" s="1" t="s">
        <v>213</v>
      </c>
      <c r="E66" s="1" t="s">
        <v>214</v>
      </c>
      <c r="F66" t="str" cm="1">
        <f t="array" aca="1" ref="F66" ca="1">INDEX($D$2:$D$101,RANDBETWEEN(1,ROWS(F67:F165)))</f>
        <v>Extension Board with USB</v>
      </c>
      <c r="G66" t="str">
        <f t="shared" ca="1" si="0"/>
        <v>Power strip with USB charging ports</v>
      </c>
      <c r="H66" t="str" cm="1">
        <f t="array" aca="1" ref="H66" ca="1">INDEX($D$2:$D$101,RANDBETWEEN(1,ROWS(H67:H165)))</f>
        <v>Air Humidifier with Light</v>
      </c>
      <c r="I66" t="str">
        <f t="shared" ca="1" si="18"/>
        <v>Adds moisture and includes night light feature</v>
      </c>
      <c r="J66" t="str" cm="1">
        <f t="array" aca="1" ref="J66" ca="1">INDEX($D$2:$D$101,RANDBETWEEN(1,ROWS(J67:J165)))</f>
        <v>Gas Leak Detector</v>
      </c>
      <c r="K66" t="str">
        <f t="shared" ca="1" si="19"/>
        <v>Detects gas leaks in the kitchen</v>
      </c>
      <c r="L66" t="str" cm="1">
        <f t="array" aca="1" ref="L66" ca="1">INDEX($D$2:$D$101,RANDBETWEEN(1,ROWS(L67:L165)))</f>
        <v>Electric Grill</v>
      </c>
      <c r="M66" t="str">
        <f t="shared" ca="1" si="20"/>
        <v>Indoor grill for meat and vegetables</v>
      </c>
      <c r="N66" t="str" cm="1">
        <f t="array" aca="1" ref="N66" ca="1">INDEX($D$2:$D$101,RANDBETWEEN(1,ROWS(N67:N165)))</f>
        <v>Mini Bluetooth Receiver</v>
      </c>
      <c r="O66" t="str">
        <f t="shared" ca="1" si="21"/>
        <v>Adds Bluetooth to non-Bluetooth devices</v>
      </c>
      <c r="P66" t="str" cm="1">
        <f t="array" aca="1" ref="P66" ca="1">INDEX($D$2:$D$101,RANDBETWEEN(1,ROWS(P67:P165)))</f>
        <v>Tower Fan</v>
      </c>
      <c r="Q66" t="str">
        <f t="shared" ca="1" si="22"/>
        <v>Space-saving vertical fan</v>
      </c>
      <c r="R66" t="str" cm="1">
        <f t="array" aca="1" ref="R66" ca="1">INDEX($D$2:$D$101,RANDBETWEEN(1,ROWS(R67:R165)))</f>
        <v>Smart Toothbrush</v>
      </c>
      <c r="S66" t="str">
        <f t="shared" ca="1" si="23"/>
        <v>Electric brush with Bluetooth tracking</v>
      </c>
      <c r="T66" t="str" cm="1">
        <f t="array" aca="1" ref="T66" ca="1">INDEX($D$2:$D$101,RANDBETWEEN(1,ROWS(T67:T165)))</f>
        <v>Electric Facial Brush</v>
      </c>
      <c r="U66" t="str">
        <f t="shared" ca="1" si="24"/>
        <v>Cleansing brush for exfoliation</v>
      </c>
      <c r="V66" t="str" cm="1">
        <f t="array" aca="1" ref="V66" ca="1">INDEX($D$2:$D$101,RANDBETWEEN(1,ROWS(V67:V165)))</f>
        <v>Bread Maker</v>
      </c>
      <c r="W66" t="str">
        <f t="shared" ca="1" si="25"/>
        <v>Automatically bakes fresh bread</v>
      </c>
      <c r="X66" t="str" cm="1">
        <f t="array" aca="1" ref="X66" ca="1">INDEX($D$2:$D$101,RANDBETWEEN(1,ROWS(X67:X165)))</f>
        <v>Smart Toothbrush</v>
      </c>
      <c r="Y66" t="str">
        <f t="shared" ca="1" si="26"/>
        <v>Electric brush with Bluetooth tracking</v>
      </c>
      <c r="Z66" t="str" cm="1">
        <f t="array" aca="1" ref="Z66" ca="1">INDEX($D$2:$D$101,RANDBETWEEN(1,ROWS(Z67:Z165)))</f>
        <v>Robot Vacuum Cleaner</v>
      </c>
      <c r="AA66" t="str">
        <f t="shared" ca="1" si="27"/>
        <v>Automated floor cleaning device</v>
      </c>
      <c r="AB66" t="str" cm="1">
        <f t="array" aca="1" ref="AB66" ca="1">INDEX($D$2:$D$101,RANDBETWEEN(1,ROWS(AB67:AB165)))</f>
        <v>Plug-in Night Light</v>
      </c>
      <c r="AC66" t="str">
        <f t="shared" ca="1" si="28"/>
        <v>Low-power night light for rooms</v>
      </c>
      <c r="AD66" t="str" cm="1">
        <f t="array" aca="1" ref="AD66" ca="1">INDEX($D$2:$D$101,RANDBETWEEN(1,ROWS(AD67:AD165)))</f>
        <v>Ceiling Light with Fan</v>
      </c>
      <c r="AE66" t="str">
        <f t="shared" ca="1" si="29"/>
        <v>Dual-function decorative ceiling light with built-in fan</v>
      </c>
      <c r="AF66" t="str" cm="1">
        <f t="array" aca="1" ref="AF66" ca="1">INDEX($D$2:$D$101,RANDBETWEEN(1,ROWS(AF67:AF165)))</f>
        <v>Smart Switch</v>
      </c>
      <c r="AG66" t="str">
        <f t="shared" ca="1" si="30"/>
        <v>Wi-Fi-enabled wall switch for remote operation</v>
      </c>
      <c r="AH66" t="str" cm="1">
        <f t="array" aca="1" ref="AH66" ca="1">INDEX($D$2:$D$101,RANDBETWEEN(1,ROWS(AH67:AH165)))</f>
        <v>Smart Washing Machine</v>
      </c>
      <c r="AI66" t="str">
        <f t="shared" ca="1" si="31"/>
        <v>Wi-Fi-enabled washer with remote control options</v>
      </c>
      <c r="AJ66" t="str" cm="1">
        <f t="array" aca="1" ref="AJ66" ca="1">INDEX($D$2:$D$101,RANDBETWEEN(1,ROWS(AJ67:AJ165)))</f>
        <v>Crepe Maker</v>
      </c>
      <c r="AK66" t="str">
        <f t="shared" ca="1" si="35"/>
        <v>Electric pan for making crepes</v>
      </c>
      <c r="AL66" t="str" cm="1">
        <f t="array" aca="1" ref="AL66" ca="1">INDEX($D$2:$D$101,RANDBETWEEN(1,ROWS(AL67:AL165)))</f>
        <v>Milk Frother</v>
      </c>
      <c r="AM66" t="str">
        <f t="shared" ca="1" si="32"/>
        <v>Froths milk for lattes and cappuccinos</v>
      </c>
      <c r="AN66" t="str" cm="1">
        <f t="array" aca="1" ref="AN66" ca="1">INDEX($D$2:$D$101,RANDBETWEEN(1,ROWS(AN67:AN165)))</f>
        <v>Extension Board with USB</v>
      </c>
      <c r="AO66" t="str">
        <f t="shared" ca="1" si="33"/>
        <v>Power strip with USB charging ports</v>
      </c>
      <c r="AP66" t="str" cm="1">
        <f t="array" aca="1" ref="AP66" ca="1">INDEX($D$2:$D$101,RANDBETWEEN(1,ROWS(AP67:AP165)))</f>
        <v>Foldable Hair Dryer</v>
      </c>
      <c r="AQ66" t="str">
        <f t="shared" ca="1" si="34"/>
        <v>Compact, travel-friendly hair dryer</v>
      </c>
    </row>
    <row r="67" spans="1:43" ht="20.5" customHeight="1" x14ac:dyDescent="0.3">
      <c r="A67" s="22">
        <v>166</v>
      </c>
      <c r="B67" t="s">
        <v>383</v>
      </c>
      <c r="C67" t="s">
        <v>215</v>
      </c>
      <c r="D67" s="1" t="s">
        <v>216</v>
      </c>
      <c r="E67" s="1" t="s">
        <v>217</v>
      </c>
      <c r="F67" t="str" cm="1">
        <f t="array" aca="1" ref="F67" ca="1">INDEX($D$2:$D$101,RANDBETWEEN(1,ROWS(F68:F166)))</f>
        <v>Tower Fan</v>
      </c>
      <c r="G67" t="str">
        <f t="shared" ca="1" si="0"/>
        <v>Space-saving vertical fan</v>
      </c>
      <c r="H67" t="str" cm="1">
        <f t="array" aca="1" ref="H67" ca="1">INDEX($D$2:$D$101,RANDBETWEEN(1,ROWS(H68:H166)))</f>
        <v>Automatic Hand Sanitizer</v>
      </c>
      <c r="I67" t="str">
        <f t="shared" ref="I67:I101" ca="1" si="36">VLOOKUP(H67,oo,2,0)</f>
        <v>Touchless sanitizer dispenser</v>
      </c>
      <c r="J67" t="str" cm="1">
        <f t="array" aca="1" ref="J67" ca="1">INDEX($D$2:$D$101,RANDBETWEEN(1,ROWS(J68:J166)))</f>
        <v>Cold Press Juicer</v>
      </c>
      <c r="K67" t="str">
        <f t="shared" ref="K67:K101" ca="1" si="37">VLOOKUP(J67,oo,2,0)</f>
        <v>Slow juicer for better nutrient retention</v>
      </c>
      <c r="L67" t="str" cm="1">
        <f t="array" aca="1" ref="L67" ca="1">INDEX($D$2:$D$101,RANDBETWEEN(1,ROWS(L68:L166)))</f>
        <v>Egg Boiler</v>
      </c>
      <c r="M67" t="str">
        <f t="shared" ref="M67:M101" ca="1" si="38">VLOOKUP(L67,oo,2,0)</f>
        <v>Automatically boils eggs</v>
      </c>
      <c r="N67" t="str" cm="1">
        <f t="array" aca="1" ref="N67" ca="1">INDEX($D$2:$D$101,RANDBETWEEN(1,ROWS(N68:N166)))</f>
        <v>Ultrasonic Humidifier</v>
      </c>
      <c r="O67" t="str">
        <f t="shared" ref="O67:O101" ca="1" si="39">VLOOKUP(N67,oo,2,0)</f>
        <v>Mist-based humidifier using ultrasonic vibrations</v>
      </c>
      <c r="P67" t="str" cm="1">
        <f t="array" aca="1" ref="P67" ca="1">INDEX($D$2:$D$101,RANDBETWEEN(1,ROWS(P68:P166)))</f>
        <v>Facial Steamer</v>
      </c>
      <c r="Q67" t="str">
        <f t="shared" ref="Q67:Q101" ca="1" si="40">VLOOKUP(P67,oo,2,0)</f>
        <v>Opens pores for skincare routine</v>
      </c>
      <c r="R67" t="str" cm="1">
        <f t="array" aca="1" ref="R67" ca="1">INDEX($D$2:$D$101,RANDBETWEEN(1,ROWS(R68:R166)))</f>
        <v>Air Humidifier with Light</v>
      </c>
      <c r="S67" t="str">
        <f t="shared" ref="S67:S101" ca="1" si="41">VLOOKUP(R67,oo,2,0)</f>
        <v>Adds moisture and includes night light feature</v>
      </c>
      <c r="T67" t="str" cm="1">
        <f t="array" aca="1" ref="T67" ca="1">INDEX($D$2:$D$101,RANDBETWEEN(1,ROWS(T68:T166)))</f>
        <v>USB-C Docking Station</v>
      </c>
      <c r="U67" t="str">
        <f t="shared" ref="U67:U101" ca="1" si="42">VLOOKUP(T67,oo,2,0)</f>
        <v>Expands ports for laptops</v>
      </c>
      <c r="V67" t="str" cm="1">
        <f t="array" aca="1" ref="V67" ca="1">INDEX($D$2:$D$101,RANDBETWEEN(1,ROWS(V68:V166)))</f>
        <v>Milk Frother</v>
      </c>
      <c r="W67" t="str">
        <f t="shared" ref="W67:W101" ca="1" si="43">VLOOKUP(V67,oo,2,0)</f>
        <v>Froths milk for lattes and cappuccinos</v>
      </c>
      <c r="X67" t="str" cm="1">
        <f t="array" aca="1" ref="X67" ca="1">INDEX($D$2:$D$101,RANDBETWEEN(1,ROWS(X68:X166)))</f>
        <v>Smart Smoke Detector</v>
      </c>
      <c r="Y67" t="str">
        <f t="shared" ref="Y67:Y101" ca="1" si="44">VLOOKUP(X67,oo,2,0)</f>
        <v>Smoke alarm with smart alerts</v>
      </c>
      <c r="Z67" t="str" cm="1">
        <f t="array" aca="1" ref="Z67" ca="1">INDEX($D$2:$D$101,RANDBETWEEN(1,ROWS(Z68:Z166)))</f>
        <v>Solar Garden Light</v>
      </c>
      <c r="AA67" t="str">
        <f t="shared" ref="AA67:AA101" ca="1" si="45">VLOOKUP(Z67,oo,2,0)</f>
        <v>Solar-powered outdoor lighting</v>
      </c>
      <c r="AB67" t="str" cm="1">
        <f t="array" aca="1" ref="AB67" ca="1">INDEX($D$2:$D$101,RANDBETWEEN(1,ROWS(AB68:AB166)))</f>
        <v>LED Desk Lamp</v>
      </c>
      <c r="AC67" t="str">
        <f t="shared" ref="AC67:AC101" ca="1" si="46">VLOOKUP(AB67,oo,2,0)</f>
        <v>Adjustable desk lamp with LED lighting</v>
      </c>
      <c r="AD67" t="str" cm="1">
        <f t="array" aca="1" ref="AD67" ca="1">INDEX($D$2:$D$101,RANDBETWEEN(1,ROWS(AD68:AD166)))</f>
        <v>Smart Weighing Scale</v>
      </c>
      <c r="AE67" t="str">
        <f t="shared" ref="AE67:AE101" ca="1" si="47">VLOOKUP(AD67,oo,2,0)</f>
        <v>Body scale with app sync and health data</v>
      </c>
      <c r="AF67" t="str" cm="1">
        <f t="array" aca="1" ref="AF67" ca="1">INDEX($D$2:$D$101,RANDBETWEEN(1,ROWS(AF68:AF166)))</f>
        <v>Portable Air Conditioner</v>
      </c>
      <c r="AG67" t="str">
        <f t="shared" ref="AG67:AG101" ca="1" si="48">VLOOKUP(AF67,oo,2,0)</f>
        <v>Compact AC unit for small spaces</v>
      </c>
      <c r="AH67" t="str" cm="1">
        <f t="array" aca="1" ref="AH67" ca="1">INDEX($D$2:$D$101,RANDBETWEEN(1,ROWS(AH68:AH166)))</f>
        <v>Smart Doorbell</v>
      </c>
      <c r="AI67" t="str">
        <f t="shared" ref="AI67:AI101" ca="1" si="49">VLOOKUP(AH67,oo,2,0)</f>
        <v>Wi-Fi-enabled doorbell with camera and intercom</v>
      </c>
      <c r="AJ67" t="str" cm="1">
        <f t="array" aca="1" ref="AJ67" ca="1">INDEX($D$2:$D$101,RANDBETWEEN(1,ROWS(AJ68:AJ166)))</f>
        <v>Smart Geyser</v>
      </c>
      <c r="AK67" t="str">
        <f t="shared" ca="1" si="35"/>
        <v>Internet-connected water heater</v>
      </c>
      <c r="AL67" t="str" cm="1">
        <f t="array" aca="1" ref="AL67" ca="1">INDEX($D$2:$D$101,RANDBETWEEN(1,ROWS(AL68:AL166)))</f>
        <v>Desktop Air Purifier</v>
      </c>
      <c r="AM67" t="str">
        <f t="shared" ref="AM67:AM101" ca="1" si="50">VLOOKUP(AL67,oo,2,0)</f>
        <v>Compact purifier for desks</v>
      </c>
      <c r="AN67" t="str" cm="1">
        <f t="array" aca="1" ref="AN67" ca="1">INDEX($D$2:$D$101,RANDBETWEEN(1,ROWS(AN68:AN166)))</f>
        <v>Egg Boiler</v>
      </c>
      <c r="AO67" t="str">
        <f t="shared" ref="AO67:AO101" ca="1" si="51">VLOOKUP(AN67,oo,2,0)</f>
        <v>Automatically boils eggs</v>
      </c>
      <c r="AP67" t="str" cm="1">
        <f t="array" aca="1" ref="AP67" ca="1">INDEX($D$2:$D$101,RANDBETWEEN(1,ROWS(AP68:AP166)))</f>
        <v>Meat Grinder</v>
      </c>
      <c r="AQ67" t="str">
        <f t="shared" ref="AQ67:AQ101" ca="1" si="52">VLOOKUP(AP67,oo,2,0)</f>
        <v>Grinds meat for home cooking</v>
      </c>
    </row>
    <row r="68" spans="1:43" ht="20.5" customHeight="1" x14ac:dyDescent="0.3">
      <c r="A68" s="22">
        <v>167</v>
      </c>
      <c r="B68" t="s">
        <v>384</v>
      </c>
      <c r="C68" t="s">
        <v>218</v>
      </c>
      <c r="D68" s="1" t="s">
        <v>219</v>
      </c>
      <c r="E68" s="1" t="s">
        <v>220</v>
      </c>
      <c r="F68" t="str" cm="1">
        <f t="array" aca="1" ref="F68" ca="1">INDEX($D$2:$D$101,RANDBETWEEN(1,ROWS(F69:F167)))</f>
        <v>Meat Grinder</v>
      </c>
      <c r="G68" t="str">
        <f t="shared" ca="1" si="0"/>
        <v>Grinds meat for home cooking</v>
      </c>
      <c r="H68" t="str" cm="1">
        <f t="array" aca="1" ref="H68" ca="1">INDEX($D$2:$D$101,RANDBETWEEN(1,ROWS(H69:H167)))</f>
        <v>Electric Chopper</v>
      </c>
      <c r="I68" t="str">
        <f t="shared" ca="1" si="36"/>
        <v>Chops vegetables and fruits quickly</v>
      </c>
      <c r="J68" t="str" cm="1">
        <f t="array" aca="1" ref="J68" ca="1">INDEX($D$2:$D$101,RANDBETWEEN(1,ROWS(J69:J167)))</f>
        <v>Pancake Maker</v>
      </c>
      <c r="K68" t="str">
        <f t="shared" ca="1" si="37"/>
        <v>Easy tool for making pancakes</v>
      </c>
      <c r="L68" t="str" cm="1">
        <f t="array" aca="1" ref="L68" ca="1">INDEX($D$2:$D$101,RANDBETWEEN(1,ROWS(L69:L167)))</f>
        <v>Ultrasonic Skin Cleaner</v>
      </c>
      <c r="M68" t="str">
        <f t="shared" ca="1" si="38"/>
        <v>Deep cleans skin using ultrasonic waves</v>
      </c>
      <c r="N68" t="str" cm="1">
        <f t="array" aca="1" ref="N68" ca="1">INDEX($D$2:$D$101,RANDBETWEEN(1,ROWS(N69:N167)))</f>
        <v>Heated Eyelash Curler</v>
      </c>
      <c r="O68" t="str">
        <f t="shared" ca="1" si="39"/>
        <v>Shapes eyelashes with gentle heat</v>
      </c>
      <c r="P68" t="str" cm="1">
        <f t="array" aca="1" ref="P68" ca="1">INDEX($D$2:$D$101,RANDBETWEEN(1,ROWS(P69:P167)))</f>
        <v>Smart Air Conditioner</v>
      </c>
      <c r="Q68" t="str">
        <f t="shared" ca="1" si="40"/>
        <v>AC unit controllable via smartphone or voice</v>
      </c>
      <c r="R68" t="str" cm="1">
        <f t="array" aca="1" ref="R68" ca="1">INDEX($D$2:$D$101,RANDBETWEEN(1,ROWS(R69:R167)))</f>
        <v>Smart Washing Machine</v>
      </c>
      <c r="S68" t="str">
        <f t="shared" ca="1" si="41"/>
        <v>Wi-Fi-enabled washer with remote control options</v>
      </c>
      <c r="T68" t="str" cm="1">
        <f t="array" aca="1" ref="T68" ca="1">INDEX($D$2:$D$101,RANDBETWEEN(1,ROWS(T69:T167)))</f>
        <v>Smart Air Conditioner</v>
      </c>
      <c r="U68" t="str">
        <f t="shared" ca="1" si="42"/>
        <v>AC unit controllable via smartphone or voice</v>
      </c>
      <c r="V68" t="str" cm="1">
        <f t="array" aca="1" ref="V68" ca="1">INDEX($D$2:$D$101,RANDBETWEEN(1,ROWS(V69:V167)))</f>
        <v>Yogurt Maker</v>
      </c>
      <c r="W68" t="str">
        <f t="shared" ca="1" si="43"/>
        <v>Home appliance for making yogurt</v>
      </c>
      <c r="X68" t="str" cm="1">
        <f t="array" aca="1" ref="X68" ca="1">INDEX($D$2:$D$101,RANDBETWEEN(1,ROWS(X69:X167)))</f>
        <v>Smart Microwave</v>
      </c>
      <c r="Y68" t="str">
        <f t="shared" ca="1" si="44"/>
        <v>Microwave with voice or app control</v>
      </c>
      <c r="Z68" t="str" cm="1">
        <f t="array" aca="1" ref="Z68" ca="1">INDEX($D$2:$D$101,RANDBETWEEN(1,ROWS(Z69:Z167)))</f>
        <v>DisplayPort Cable</v>
      </c>
      <c r="AA68" t="str">
        <f t="shared" ca="1" si="45"/>
        <v>High-resolution monitor cable</v>
      </c>
      <c r="AB68" t="str" cm="1">
        <f t="array" aca="1" ref="AB68" ca="1">INDEX($D$2:$D$101,RANDBETWEEN(1,ROWS(AB69:AB167)))</f>
        <v>Extension Board with USB</v>
      </c>
      <c r="AC68" t="str">
        <f t="shared" ca="1" si="46"/>
        <v>Power strip with USB charging ports</v>
      </c>
      <c r="AD68" t="str" cm="1">
        <f t="array" aca="1" ref="AD68" ca="1">INDEX($D$2:$D$101,RANDBETWEEN(1,ROWS(AD69:AD167)))</f>
        <v>Portable Car Heater</v>
      </c>
      <c r="AE68" t="str">
        <f t="shared" ca="1" si="47"/>
        <v>12V heater for car interiors</v>
      </c>
      <c r="AF68" t="str" cm="1">
        <f t="array" aca="1" ref="AF68" ca="1">INDEX($D$2:$D$101,RANDBETWEEN(1,ROWS(AF69:AF167)))</f>
        <v>Mini Fridge</v>
      </c>
      <c r="AG68" t="str">
        <f t="shared" ca="1" si="48"/>
        <v>Compact refrigerator for beverages</v>
      </c>
      <c r="AH68" t="str" cm="1">
        <f t="array" aca="1" ref="AH68" ca="1">INDEX($D$2:$D$101,RANDBETWEEN(1,ROWS(AH69:AH167)))</f>
        <v>Smart IR Remote</v>
      </c>
      <c r="AI68" t="str">
        <f t="shared" ca="1" si="49"/>
        <v>Controls appliances via smartphone</v>
      </c>
      <c r="AJ68" t="str" cm="1">
        <f t="array" aca="1" ref="AJ68" ca="1">INDEX($D$2:$D$101,RANDBETWEEN(1,ROWS(AJ69:AJ167)))</f>
        <v>LED Strip with Remote</v>
      </c>
      <c r="AK68" t="str">
        <f t="shared" ca="1" si="35"/>
        <v>Customizable LED lighting with remote control</v>
      </c>
      <c r="AL68" t="str" cm="1">
        <f t="array" aca="1" ref="AL68" ca="1">INDEX($D$2:$D$101,RANDBETWEEN(1,ROWS(AL69:AL167)))</f>
        <v>Egg Boiler</v>
      </c>
      <c r="AM68" t="str">
        <f t="shared" ca="1" si="50"/>
        <v>Automatically boils eggs</v>
      </c>
      <c r="AN68" t="str" cm="1">
        <f t="array" aca="1" ref="AN68" ca="1">INDEX($D$2:$D$101,RANDBETWEEN(1,ROWS(AN69:AN167)))</f>
        <v>Bluetooth Transmitter</v>
      </c>
      <c r="AO68" t="str">
        <f t="shared" ca="1" si="51"/>
        <v>Sends audio to Bluetooth devices</v>
      </c>
      <c r="AP68" t="str" cm="1">
        <f t="array" aca="1" ref="AP68" ca="1">INDEX($D$2:$D$101,RANDBETWEEN(1,ROWS(AP69:AP167)))</f>
        <v>DisplayPort Cable</v>
      </c>
      <c r="AQ68" t="str">
        <f t="shared" ca="1" si="52"/>
        <v>High-resolution monitor cable</v>
      </c>
    </row>
    <row r="69" spans="1:43" ht="20.5" customHeight="1" x14ac:dyDescent="0.3">
      <c r="A69" s="22">
        <v>168</v>
      </c>
      <c r="B69" t="s">
        <v>385</v>
      </c>
      <c r="C69" t="s">
        <v>221</v>
      </c>
      <c r="D69" s="1" t="s">
        <v>222</v>
      </c>
      <c r="E69" s="1" t="s">
        <v>223</v>
      </c>
      <c r="F69" t="str" cm="1">
        <f t="array" aca="1" ref="F69" ca="1">INDEX($D$2:$D$101,RANDBETWEEN(1,ROWS(F70:F168)))</f>
        <v>Smart Weighing Scale</v>
      </c>
      <c r="G69" t="str">
        <f t="shared" ca="1" si="0"/>
        <v>Body scale with app sync and health data</v>
      </c>
      <c r="H69" t="str" cm="1">
        <f t="array" aca="1" ref="H69" ca="1">INDEX($D$2:$D$101,RANDBETWEEN(1,ROWS(H70:H168)))</f>
        <v>Gas Leak Detector</v>
      </c>
      <c r="I69" t="str">
        <f t="shared" ca="1" si="36"/>
        <v>Detects gas leaks in the kitchen</v>
      </c>
      <c r="J69" t="str" cm="1">
        <f t="array" aca="1" ref="J69" ca="1">INDEX($D$2:$D$101,RANDBETWEEN(1,ROWS(J70:J168)))</f>
        <v>Motion Detector</v>
      </c>
      <c r="K69" t="str">
        <f t="shared" ca="1" si="37"/>
        <v>Triggers alarm or light on motion detection</v>
      </c>
      <c r="L69" t="str" cm="1">
        <f t="array" aca="1" ref="L69" ca="1">INDEX($D$2:$D$101,RANDBETWEEN(1,ROWS(L70:L168)))</f>
        <v>Kitchen Weighing Scale</v>
      </c>
      <c r="M69" t="str">
        <f t="shared" ca="1" si="38"/>
        <v>Measures food portions accurately</v>
      </c>
      <c r="N69" t="str" cm="1">
        <f t="array" aca="1" ref="N69" ca="1">INDEX($D$2:$D$101,RANDBETWEEN(1,ROWS(N70:N168)))</f>
        <v>Hygrometer</v>
      </c>
      <c r="O69" t="str">
        <f t="shared" ca="1" si="39"/>
        <v>Measures indoor humidity levels</v>
      </c>
      <c r="P69" t="str" cm="1">
        <f t="array" aca="1" ref="P69" ca="1">INDEX($D$2:$D$101,RANDBETWEEN(1,ROWS(P70:P168)))</f>
        <v>Bluetooth Transmitter</v>
      </c>
      <c r="Q69" t="str">
        <f t="shared" ca="1" si="40"/>
        <v>Sends audio to Bluetooth devices</v>
      </c>
      <c r="R69" t="str" cm="1">
        <f t="array" aca="1" ref="R69" ca="1">INDEX($D$2:$D$101,RANDBETWEEN(1,ROWS(R70:R168)))</f>
        <v>Personal Neck Fan</v>
      </c>
      <c r="S69" t="str">
        <f t="shared" ca="1" si="41"/>
        <v>Wearable fan for hands-free cooling</v>
      </c>
      <c r="T69" t="str" cm="1">
        <f t="array" aca="1" ref="T69" ca="1">INDEX($D$2:$D$101,RANDBETWEEN(1,ROWS(T70:T168)))</f>
        <v>Smart Alarm Clock</v>
      </c>
      <c r="U69" t="str">
        <f t="shared" ca="1" si="42"/>
        <v>Alarm with smart features like weather, music, and lights</v>
      </c>
      <c r="V69" t="str" cm="1">
        <f t="array" aca="1" ref="V69" ca="1">INDEX($D$2:$D$101,RANDBETWEEN(1,ROWS(V70:V168)))</f>
        <v>Personal Neck Fan</v>
      </c>
      <c r="W69" t="str">
        <f t="shared" ca="1" si="43"/>
        <v>Wearable fan for hands-free cooling</v>
      </c>
      <c r="X69" t="str" cm="1">
        <f t="array" aca="1" ref="X69" ca="1">INDEX($D$2:$D$101,RANDBETWEEN(1,ROWS(X70:X168)))</f>
        <v>TV Wall Mount</v>
      </c>
      <c r="Y69" t="str">
        <f t="shared" ca="1" si="44"/>
        <v>Mounting bracket for flat TVs</v>
      </c>
      <c r="Z69" t="str" cm="1">
        <f t="array" aca="1" ref="Z69" ca="1">INDEX($D$2:$D$101,RANDBETWEEN(1,ROWS(Z70:Z168)))</f>
        <v>Ceiling Light with Fan</v>
      </c>
      <c r="AA69" t="str">
        <f t="shared" ca="1" si="45"/>
        <v>Dual-function decorative ceiling light with built-in fan</v>
      </c>
      <c r="AB69" t="str" cm="1">
        <f t="array" aca="1" ref="AB69" ca="1">INDEX($D$2:$D$101,RANDBETWEEN(1,ROWS(AB70:AB168)))</f>
        <v>Smart Toothbrush</v>
      </c>
      <c r="AC69" t="str">
        <f t="shared" ca="1" si="46"/>
        <v>Electric brush with Bluetooth tracking</v>
      </c>
      <c r="AD69" t="str" cm="1">
        <f t="array" aca="1" ref="AD69" ca="1">INDEX($D$2:$D$101,RANDBETWEEN(1,ROWS(AD70:AD168)))</f>
        <v>Electric Nail File Kit</v>
      </c>
      <c r="AE69" t="str">
        <f t="shared" ca="1" si="47"/>
        <v>For manicure and pedicure at home</v>
      </c>
      <c r="AF69" t="str" cm="1">
        <f t="array" aca="1" ref="AF69" ca="1">INDEX($D$2:$D$101,RANDBETWEEN(1,ROWS(AF70:AF168)))</f>
        <v>Bluetooth Alarm Clock</v>
      </c>
      <c r="AG69" t="str">
        <f t="shared" ca="1" si="48"/>
        <v>Combines alarm with Bluetooth speaker</v>
      </c>
      <c r="AH69" t="str" cm="1">
        <f t="array" aca="1" ref="AH69" ca="1">INDEX($D$2:$D$101,RANDBETWEEN(1,ROWS(AH70:AH168)))</f>
        <v>Tower Fan</v>
      </c>
      <c r="AI69" t="str">
        <f t="shared" ca="1" si="49"/>
        <v>Space-saving vertical fan</v>
      </c>
      <c r="AJ69" t="str" cm="1">
        <f t="array" aca="1" ref="AJ69" ca="1">INDEX($D$2:$D$101,RANDBETWEEN(1,ROWS(AJ70:AJ168)))</f>
        <v>Wall-Mounted Fan</v>
      </c>
      <c r="AK69" t="str">
        <f t="shared" ca="1" si="35"/>
        <v>Space-saving fan for wall mounting</v>
      </c>
      <c r="AL69" t="str" cm="1">
        <f t="array" aca="1" ref="AL69" ca="1">INDEX($D$2:$D$101,RANDBETWEEN(1,ROWS(AL70:AL168)))</f>
        <v>Foldable Hair Dryer</v>
      </c>
      <c r="AM69" t="str">
        <f t="shared" ca="1" si="50"/>
        <v>Compact, travel-friendly hair dryer</v>
      </c>
      <c r="AN69" t="str" cm="1">
        <f t="array" aca="1" ref="AN69" ca="1">INDEX($D$2:$D$101,RANDBETWEEN(1,ROWS(AN70:AN168)))</f>
        <v>Extension Board with USB</v>
      </c>
      <c r="AO69" t="str">
        <f t="shared" ca="1" si="51"/>
        <v>Power strip with USB charging ports</v>
      </c>
      <c r="AP69" t="str" cm="1">
        <f t="array" aca="1" ref="AP69" ca="1">INDEX($D$2:$D$101,RANDBETWEEN(1,ROWS(AP70:AP168)))</f>
        <v>UV Sterilizer Box</v>
      </c>
      <c r="AQ69" t="str">
        <f t="shared" ca="1" si="52"/>
        <v>Disinfects small items using UV light</v>
      </c>
    </row>
    <row r="70" spans="1:43" ht="20.5" customHeight="1" x14ac:dyDescent="0.3">
      <c r="A70" s="22">
        <v>169</v>
      </c>
      <c r="B70" t="s">
        <v>386</v>
      </c>
      <c r="C70" t="s">
        <v>224</v>
      </c>
      <c r="D70" s="1" t="s">
        <v>225</v>
      </c>
      <c r="E70" s="1" t="s">
        <v>226</v>
      </c>
      <c r="F70" t="str" cm="1">
        <f t="array" aca="1" ref="F70" ca="1">INDEX($D$2:$D$101,RANDBETWEEN(1,ROWS(F71:F169)))</f>
        <v>Foldable Hair Dryer</v>
      </c>
      <c r="G70" t="str">
        <f t="shared" ca="1" si="0"/>
        <v>Compact, travel-friendly hair dryer</v>
      </c>
      <c r="H70" t="str" cm="1">
        <f t="array" aca="1" ref="H70" ca="1">INDEX($D$2:$D$101,RANDBETWEEN(1,ROWS(H71:H169)))</f>
        <v>Ice Maker</v>
      </c>
      <c r="I70" t="str">
        <f t="shared" ca="1" si="36"/>
        <v>Machine that produces ice cubes automatically</v>
      </c>
      <c r="J70" t="str" cm="1">
        <f t="array" aca="1" ref="J70" ca="1">INDEX($D$2:$D$101,RANDBETWEEN(1,ROWS(J71:J169)))</f>
        <v>Motion Detector</v>
      </c>
      <c r="K70" t="str">
        <f t="shared" ca="1" si="37"/>
        <v>Triggers alarm or light on motion detection</v>
      </c>
      <c r="L70" t="str" cm="1">
        <f t="array" aca="1" ref="L70" ca="1">INDEX($D$2:$D$101,RANDBETWEEN(1,ROWS(L71:L169)))</f>
        <v>Water Dispenser</v>
      </c>
      <c r="M70" t="str">
        <f t="shared" ca="1" si="38"/>
        <v>Dispenses hot and cold water</v>
      </c>
      <c r="N70" t="str" cm="1">
        <f t="array" aca="1" ref="N70" ca="1">INDEX($D$2:$D$101,RANDBETWEEN(1,ROWS(N71:N169)))</f>
        <v>Instant Coffee Machine</v>
      </c>
      <c r="O70" t="str">
        <f t="shared" ca="1" si="39"/>
        <v>Brews coffee quickly and easily</v>
      </c>
      <c r="P70" t="str" cm="1">
        <f t="array" aca="1" ref="P70" ca="1">INDEX($D$2:$D$101,RANDBETWEEN(1,ROWS(P71:P169)))</f>
        <v>Smart Ceiling Light</v>
      </c>
      <c r="Q70" t="str">
        <f t="shared" ca="1" si="40"/>
        <v>Wi-Fi-enabled, color-changing ceiling light</v>
      </c>
      <c r="R70" t="str" cm="1">
        <f t="array" aca="1" ref="R70" ca="1">INDEX($D$2:$D$101,RANDBETWEEN(1,ROWS(R71:R169)))</f>
        <v>Smart Refrigerator</v>
      </c>
      <c r="S70" t="str">
        <f t="shared" ca="1" si="41"/>
        <v>Internet-connected fridge with touchscreen and smart controls</v>
      </c>
      <c r="T70" t="str" cm="1">
        <f t="array" aca="1" ref="T70" ca="1">INDEX($D$2:$D$101,RANDBETWEEN(1,ROWS(T71:T169)))</f>
        <v>Rechargeable Torch</v>
      </c>
      <c r="U70" t="str">
        <f t="shared" ca="1" si="42"/>
        <v>Flashlight that can be recharged</v>
      </c>
      <c r="V70" t="str" cm="1">
        <f t="array" aca="1" ref="V70" ca="1">INDEX($D$2:$D$101,RANDBETWEEN(1,ROWS(V71:V169)))</f>
        <v>USB-C Docking Station</v>
      </c>
      <c r="W70" t="str">
        <f t="shared" ca="1" si="43"/>
        <v>Expands ports for laptops</v>
      </c>
      <c r="X70" t="str" cm="1">
        <f t="array" aca="1" ref="X70" ca="1">INDEX($D$2:$D$101,RANDBETWEEN(1,ROWS(X71:X169)))</f>
        <v>Digital Multimeter</v>
      </c>
      <c r="Y70" t="str">
        <f t="shared" ca="1" si="44"/>
        <v>Measures voltage, current, resistance</v>
      </c>
      <c r="Z70" t="str" cm="1">
        <f t="array" aca="1" ref="Z70" ca="1">INDEX($D$2:$D$101,RANDBETWEEN(1,ROWS(Z71:Z169)))</f>
        <v>DisplayPort Cable</v>
      </c>
      <c r="AA70" t="str">
        <f t="shared" ca="1" si="45"/>
        <v>High-resolution monitor cable</v>
      </c>
      <c r="AB70" t="str" cm="1">
        <f t="array" aca="1" ref="AB70" ca="1">INDEX($D$2:$D$101,RANDBETWEEN(1,ROWS(AB71:AB169)))</f>
        <v>Smart Toothbrush</v>
      </c>
      <c r="AC70" t="str">
        <f t="shared" ca="1" si="46"/>
        <v>Electric brush with Bluetooth tracking</v>
      </c>
      <c r="AD70" t="str" cm="1">
        <f t="array" aca="1" ref="AD70" ca="1">INDEX($D$2:$D$101,RANDBETWEEN(1,ROWS(AD71:AD169)))</f>
        <v>Room Heater</v>
      </c>
      <c r="AE70" t="str">
        <f t="shared" ca="1" si="47"/>
        <v>Electric heater for indoor heating</v>
      </c>
      <c r="AF70" t="str" cm="1">
        <f t="array" aca="1" ref="AF70" ca="1">INDEX($D$2:$D$101,RANDBETWEEN(1,ROWS(AF71:AF169)))</f>
        <v>Smart Ceiling Light</v>
      </c>
      <c r="AG70" t="str">
        <f t="shared" ca="1" si="48"/>
        <v>Wi-Fi-enabled, color-changing ceiling light</v>
      </c>
      <c r="AH70" t="str" cm="1">
        <f t="array" aca="1" ref="AH70" ca="1">INDEX($D$2:$D$101,RANDBETWEEN(1,ROWS(AH71:AH169)))</f>
        <v>Portable Air Conditioner</v>
      </c>
      <c r="AI70" t="str">
        <f t="shared" ca="1" si="49"/>
        <v>Compact AC unit for small spaces</v>
      </c>
      <c r="AJ70" t="str" cm="1">
        <f t="array" aca="1" ref="AJ70" ca="1">INDEX($D$2:$D$101,RANDBETWEEN(1,ROWS(AJ71:AJ169)))</f>
        <v>Rechargeable Torch</v>
      </c>
      <c r="AK70" t="str">
        <f t="shared" ca="1" si="35"/>
        <v>Flashlight that can be recharged</v>
      </c>
      <c r="AL70" t="str" cm="1">
        <f t="array" aca="1" ref="AL70" ca="1">INDEX($D$2:$D$101,RANDBETWEEN(1,ROWS(AL71:AL169)))</f>
        <v>Ceiling Light with Fan</v>
      </c>
      <c r="AM70" t="str">
        <f t="shared" ca="1" si="50"/>
        <v>Dual-function decorative ceiling light with built-in fan</v>
      </c>
      <c r="AN70" t="str" cm="1">
        <f t="array" aca="1" ref="AN70" ca="1">INDEX($D$2:$D$101,RANDBETWEEN(1,ROWS(AN71:AN169)))</f>
        <v>Portable Power Station</v>
      </c>
      <c r="AO70" t="str">
        <f t="shared" ca="1" si="51"/>
        <v>Rechargeable power supply for outdoors</v>
      </c>
      <c r="AP70" t="str" cm="1">
        <f t="array" aca="1" ref="AP70" ca="1">INDEX($D$2:$D$101,RANDBETWEEN(1,ROWS(AP71:AP169)))</f>
        <v>Smart Energy Monitor</v>
      </c>
      <c r="AQ70" t="str">
        <f t="shared" ca="1" si="52"/>
        <v>Tracks power consumption in real-time</v>
      </c>
    </row>
    <row r="71" spans="1:43" ht="20.5" customHeight="1" x14ac:dyDescent="0.3">
      <c r="A71" s="22">
        <v>170</v>
      </c>
      <c r="B71" t="s">
        <v>387</v>
      </c>
      <c r="C71" t="s">
        <v>227</v>
      </c>
      <c r="D71" s="1" t="s">
        <v>228</v>
      </c>
      <c r="E71" s="1" t="s">
        <v>229</v>
      </c>
      <c r="F71" t="str" cm="1">
        <f t="array" aca="1" ref="F71" ca="1">INDEX($D$2:$D$101,RANDBETWEEN(1,ROWS(F72:F170)))</f>
        <v>Espresso Machine</v>
      </c>
      <c r="G71" t="str">
        <f t="shared" ca="1" si="0"/>
        <v>Makes espresso coffee drinks</v>
      </c>
      <c r="H71" t="str" cm="1">
        <f t="array" aca="1" ref="H71" ca="1">INDEX($D$2:$D$101,RANDBETWEEN(1,ROWS(H72:H170)))</f>
        <v>Smart Air Conditioner</v>
      </c>
      <c r="I71" t="str">
        <f t="shared" ca="1" si="36"/>
        <v>AC unit controllable via smartphone or voice</v>
      </c>
      <c r="J71" t="str" cm="1">
        <f t="array" aca="1" ref="J71" ca="1">INDEX($D$2:$D$101,RANDBETWEEN(1,ROWS(J72:J170)))</f>
        <v>Emergency Solar Light</v>
      </c>
      <c r="K71" t="str">
        <f t="shared" ca="1" si="37"/>
        <v>Solar-powered backup light</v>
      </c>
      <c r="L71" t="str" cm="1">
        <f t="array" aca="1" ref="L71" ca="1">INDEX($D$2:$D$101,RANDBETWEEN(1,ROWS(L72:L170)))</f>
        <v>Desktop Air Purifier</v>
      </c>
      <c r="M71" t="str">
        <f t="shared" ca="1" si="38"/>
        <v>Compact purifier for desks</v>
      </c>
      <c r="N71" t="str" cm="1">
        <f t="array" aca="1" ref="N71" ca="1">INDEX($D$2:$D$101,RANDBETWEEN(1,ROWS(N72:N170)))</f>
        <v>Indoor Thermometer</v>
      </c>
      <c r="O71" t="str">
        <f t="shared" ca="1" si="39"/>
        <v>Displays indoor temperature</v>
      </c>
      <c r="P71" t="str" cm="1">
        <f t="array" aca="1" ref="P71" ca="1">INDEX($D$2:$D$101,RANDBETWEEN(1,ROWS(P72:P170)))</f>
        <v>Facial Steamer</v>
      </c>
      <c r="Q71" t="str">
        <f t="shared" ca="1" si="40"/>
        <v>Opens pores for skincare routine</v>
      </c>
      <c r="R71" t="str" cm="1">
        <f t="array" aca="1" ref="R71" ca="1">INDEX($D$2:$D$101,RANDBETWEEN(1,ROWS(R72:R170)))</f>
        <v>UV Toothbrush Sterilizer</v>
      </c>
      <c r="S71" t="str">
        <f t="shared" ca="1" si="41"/>
        <v>Disinfects toothbrush using UV light</v>
      </c>
      <c r="T71" t="str" cm="1">
        <f t="array" aca="1" ref="T71" ca="1">INDEX($D$2:$D$101,RANDBETWEEN(1,ROWS(T72:T170)))</f>
        <v>Car Subwoofer</v>
      </c>
      <c r="U71" t="str">
        <f t="shared" ca="1" si="42"/>
        <v>Audio upgrade for car music systems</v>
      </c>
      <c r="V71" t="str" cm="1">
        <f t="array" aca="1" ref="V71" ca="1">INDEX($D$2:$D$101,RANDBETWEEN(1,ROWS(V72:V170)))</f>
        <v>Ceiling Light with Fan</v>
      </c>
      <c r="W71" t="str">
        <f t="shared" ca="1" si="43"/>
        <v>Dual-function decorative ceiling light with built-in fan</v>
      </c>
      <c r="X71" t="str" cm="1">
        <f t="array" aca="1" ref="X71" ca="1">INDEX($D$2:$D$101,RANDBETWEEN(1,ROWS(X72:X170)))</f>
        <v>Room Heater</v>
      </c>
      <c r="Y71" t="str">
        <f t="shared" ca="1" si="44"/>
        <v>Electric heater for indoor heating</v>
      </c>
      <c r="Z71" t="str" cm="1">
        <f t="array" aca="1" ref="Z71" ca="1">INDEX($D$2:$D$101,RANDBETWEEN(1,ROWS(Z72:Z170)))</f>
        <v>Ceiling Light with Fan</v>
      </c>
      <c r="AA71" t="str">
        <f t="shared" ca="1" si="45"/>
        <v>Dual-function decorative ceiling light with built-in fan</v>
      </c>
      <c r="AB71" t="str" cm="1">
        <f t="array" aca="1" ref="AB71" ca="1">INDEX($D$2:$D$101,RANDBETWEEN(1,ROWS(AB72:AB170)))</f>
        <v>Wall-Mounted Fan</v>
      </c>
      <c r="AC71" t="str">
        <f t="shared" ca="1" si="46"/>
        <v>Space-saving fan for wall mounting</v>
      </c>
      <c r="AD71" t="str" cm="1">
        <f t="array" aca="1" ref="AD71" ca="1">INDEX($D$2:$D$101,RANDBETWEEN(1,ROWS(AD72:AD170)))</f>
        <v>Smart Weighing Scale</v>
      </c>
      <c r="AE71" t="str">
        <f t="shared" ca="1" si="47"/>
        <v>Body scale with app sync and health data</v>
      </c>
      <c r="AF71" t="str" cm="1">
        <f t="array" aca="1" ref="AF71" ca="1">INDEX($D$2:$D$101,RANDBETWEEN(1,ROWS(AF72:AF170)))</f>
        <v>Wall-Mounted Fan</v>
      </c>
      <c r="AG71" t="str">
        <f t="shared" ca="1" si="48"/>
        <v>Space-saving fan for wall mounting</v>
      </c>
      <c r="AH71" t="str" cm="1">
        <f t="array" aca="1" ref="AH71" ca="1">INDEX($D$2:$D$101,RANDBETWEEN(1,ROWS(AH72:AH170)))</f>
        <v>Roti Maker</v>
      </c>
      <c r="AI71" t="str">
        <f t="shared" ca="1" si="49"/>
        <v>Flattens and cooks Indian flatbreads</v>
      </c>
      <c r="AJ71" t="str" cm="1">
        <f t="array" aca="1" ref="AJ71" ca="1">INDEX($D$2:$D$101,RANDBETWEEN(1,ROWS(AJ72:AJ170)))</f>
        <v>HDMI Switch</v>
      </c>
      <c r="AK71" t="str">
        <f t="shared" ca="1" si="35"/>
        <v>Connects multiple HDMI devices</v>
      </c>
      <c r="AL71" t="str" cm="1">
        <f t="array" aca="1" ref="AL71" ca="1">INDEX($D$2:$D$101,RANDBETWEEN(1,ROWS(AL72:AL170)))</f>
        <v>Instant Coffee Machine</v>
      </c>
      <c r="AM71" t="str">
        <f t="shared" ca="1" si="50"/>
        <v>Brews coffee quickly and easily</v>
      </c>
      <c r="AN71" t="str" cm="1">
        <f t="array" aca="1" ref="AN71" ca="1">INDEX($D$2:$D$101,RANDBETWEEN(1,ROWS(AN72:AN170)))</f>
        <v>Smart Washing Machine</v>
      </c>
      <c r="AO71" t="str">
        <f t="shared" ca="1" si="51"/>
        <v>Wi-Fi-enabled washer with remote control options</v>
      </c>
      <c r="AP71" t="str" cm="1">
        <f t="array" aca="1" ref="AP71" ca="1">INDEX($D$2:$D$101,RANDBETWEEN(1,ROWS(AP72:AP170)))</f>
        <v>Bread Maker</v>
      </c>
      <c r="AQ71" t="str">
        <f t="shared" ca="1" si="52"/>
        <v>Automatically bakes fresh bread</v>
      </c>
    </row>
    <row r="72" spans="1:43" ht="20.5" customHeight="1" x14ac:dyDescent="0.3">
      <c r="A72" s="22">
        <v>171</v>
      </c>
      <c r="B72" t="s">
        <v>388</v>
      </c>
      <c r="C72" t="s">
        <v>230</v>
      </c>
      <c r="D72" s="1" t="s">
        <v>231</v>
      </c>
      <c r="E72" s="1" t="s">
        <v>232</v>
      </c>
      <c r="F72" t="str" cm="1">
        <f t="array" aca="1" ref="F72" ca="1">INDEX($D$2:$D$101,RANDBETWEEN(1,ROWS(F73:F171)))</f>
        <v>LED Desk Lamp</v>
      </c>
      <c r="G72" t="str">
        <f t="shared" ca="1" si="0"/>
        <v>Adjustable desk lamp with LED lighting</v>
      </c>
      <c r="H72" t="str" cm="1">
        <f t="array" aca="1" ref="H72" ca="1">INDEX($D$2:$D$101,RANDBETWEEN(1,ROWS(H73:H171)))</f>
        <v>Kitchen Timer</v>
      </c>
      <c r="I72" t="str">
        <f t="shared" ca="1" si="36"/>
        <v>Digital countdown timer for cooking</v>
      </c>
      <c r="J72" t="str" cm="1">
        <f t="array" aca="1" ref="J72" ca="1">INDEX($D$2:$D$101,RANDBETWEEN(1,ROWS(J73:J171)))</f>
        <v>Mosquito Killer Lamp</v>
      </c>
      <c r="K72" t="str">
        <f t="shared" ca="1" si="37"/>
        <v>Electric trap for mosquitoes</v>
      </c>
      <c r="L72" t="str" cm="1">
        <f t="array" aca="1" ref="L72" ca="1">INDEX($D$2:$D$101,RANDBETWEEN(1,ROWS(L73:L171)))</f>
        <v>Portable Power Station</v>
      </c>
      <c r="M72" t="str">
        <f t="shared" ca="1" si="38"/>
        <v>Rechargeable power supply for outdoors</v>
      </c>
      <c r="N72" t="str" cm="1">
        <f t="array" aca="1" ref="N72" ca="1">INDEX($D$2:$D$101,RANDBETWEEN(1,ROWS(N73:N171)))</f>
        <v>Smart Refrigerator</v>
      </c>
      <c r="O72" t="str">
        <f t="shared" ca="1" si="39"/>
        <v>Internet-connected fridge with touchscreen and smart controls</v>
      </c>
      <c r="P72" t="str" cm="1">
        <f t="array" aca="1" ref="P72" ca="1">INDEX($D$2:$D$101,RANDBETWEEN(1,ROWS(P73:P171)))</f>
        <v>Crepe Maker</v>
      </c>
      <c r="Q72" t="str">
        <f t="shared" ca="1" si="40"/>
        <v>Electric pan for making crepes</v>
      </c>
      <c r="R72" t="str" cm="1">
        <f t="array" aca="1" ref="R72" ca="1">INDEX($D$2:$D$101,RANDBETWEEN(1,ROWS(R73:R171)))</f>
        <v>Pedestal Fan</v>
      </c>
      <c r="S72" t="str">
        <f t="shared" ca="1" si="41"/>
        <v>Adjustable stand fan for personal cooling</v>
      </c>
      <c r="T72" t="str" cm="1">
        <f t="array" aca="1" ref="T72" ca="1">INDEX($D$2:$D$101,RANDBETWEEN(1,ROWS(T73:T171)))</f>
        <v>Cold Press Juicer</v>
      </c>
      <c r="U72" t="str">
        <f t="shared" ca="1" si="42"/>
        <v>Slow juicer for better nutrient retention</v>
      </c>
      <c r="V72" t="str" cm="1">
        <f t="array" aca="1" ref="V72" ca="1">INDEX($D$2:$D$101,RANDBETWEEN(1,ROWS(V73:V171)))</f>
        <v>Electric Chopper</v>
      </c>
      <c r="W72" t="str">
        <f t="shared" ca="1" si="43"/>
        <v>Chops vegetables and fruits quickly</v>
      </c>
      <c r="X72" t="str" cm="1">
        <f t="array" aca="1" ref="X72" ca="1">INDEX($D$2:$D$101,RANDBETWEEN(1,ROWS(X73:X171)))</f>
        <v>Electric Water Boiler</v>
      </c>
      <c r="Y72" t="str">
        <f t="shared" ca="1" si="44"/>
        <v>Quickly boils large volumes of water</v>
      </c>
      <c r="Z72" t="str" cm="1">
        <f t="array" aca="1" ref="Z72" ca="1">INDEX($D$2:$D$101,RANDBETWEEN(1,ROWS(Z73:Z171)))</f>
        <v>Automatic Hand Sanitizer</v>
      </c>
      <c r="AA72" t="str">
        <f t="shared" ca="1" si="45"/>
        <v>Touchless sanitizer dispenser</v>
      </c>
      <c r="AB72" t="str" cm="1">
        <f t="array" aca="1" ref="AB72" ca="1">INDEX($D$2:$D$101,RANDBETWEEN(1,ROWS(AB73:AB171)))</f>
        <v>Robot Vacuum Cleaner</v>
      </c>
      <c r="AC72" t="str">
        <f t="shared" ca="1" si="46"/>
        <v>Automated floor cleaning device</v>
      </c>
      <c r="AD72" t="str" cm="1">
        <f t="array" aca="1" ref="AD72" ca="1">INDEX($D$2:$D$101,RANDBETWEEN(1,ROWS(AD73:AD171)))</f>
        <v>LED Strip with Remote</v>
      </c>
      <c r="AE72" t="str">
        <f t="shared" ca="1" si="47"/>
        <v>Customizable LED lighting with remote control</v>
      </c>
      <c r="AF72" t="str" cm="1">
        <f t="array" aca="1" ref="AF72" ca="1">INDEX($D$2:$D$101,RANDBETWEEN(1,ROWS(AF73:AF171)))</f>
        <v>Ceiling Light with Fan</v>
      </c>
      <c r="AG72" t="str">
        <f t="shared" ca="1" si="48"/>
        <v>Dual-function decorative ceiling light with built-in fan</v>
      </c>
      <c r="AH72" t="str" cm="1">
        <f t="array" aca="1" ref="AH72" ca="1">INDEX($D$2:$D$101,RANDBETWEEN(1,ROWS(AH73:AH171)))</f>
        <v>Pedestal Fan</v>
      </c>
      <c r="AI72" t="str">
        <f t="shared" ca="1" si="49"/>
        <v>Adjustable stand fan for personal cooling</v>
      </c>
      <c r="AJ72" t="str" cm="1">
        <f t="array" aca="1" ref="AJ72" ca="1">INDEX($D$2:$D$101,RANDBETWEEN(1,ROWS(AJ73:AJ171)))</f>
        <v>Rechargeable Torch</v>
      </c>
      <c r="AK72" t="str">
        <f t="shared" ca="1" si="35"/>
        <v>Flashlight that can be recharged</v>
      </c>
      <c r="AL72" t="str" cm="1">
        <f t="array" aca="1" ref="AL72" ca="1">INDEX($D$2:$D$101,RANDBETWEEN(1,ROWS(AL73:AL171)))</f>
        <v>Solar Garden Light</v>
      </c>
      <c r="AM72" t="str">
        <f t="shared" ca="1" si="50"/>
        <v>Solar-powered outdoor lighting</v>
      </c>
      <c r="AN72" t="str" cm="1">
        <f t="array" aca="1" ref="AN72" ca="1">INDEX($D$2:$D$101,RANDBETWEEN(1,ROWS(AN73:AN171)))</f>
        <v>Dashcam Rear Camera</v>
      </c>
      <c r="AO72" t="str">
        <f t="shared" ca="1" si="51"/>
        <v>Rear view recording for vehicles</v>
      </c>
      <c r="AP72" t="str" cm="1">
        <f t="array" aca="1" ref="AP72" ca="1">INDEX($D$2:$D$101,RANDBETWEEN(1,ROWS(AP73:AP171)))</f>
        <v>Crepe Maker</v>
      </c>
      <c r="AQ72" t="str">
        <f t="shared" ca="1" si="52"/>
        <v>Electric pan for making crepes</v>
      </c>
    </row>
    <row r="73" spans="1:43" ht="20.5" customHeight="1" x14ac:dyDescent="0.3">
      <c r="A73" s="22">
        <v>172</v>
      </c>
      <c r="B73" t="s">
        <v>389</v>
      </c>
      <c r="C73" t="s">
        <v>29</v>
      </c>
      <c r="D73" s="1" t="s">
        <v>233</v>
      </c>
      <c r="E73" s="1" t="s">
        <v>234</v>
      </c>
      <c r="F73" t="str" cm="1">
        <f t="array" aca="1" ref="F73" ca="1">INDEX($D$2:$D$101,RANDBETWEEN(1,ROWS(F74:F172)))</f>
        <v>Electric Egg Beater</v>
      </c>
      <c r="G73" t="str">
        <f t="shared" ca="1" si="0"/>
        <v>Handheld electric whisk for baking</v>
      </c>
      <c r="H73" t="str" cm="1">
        <f t="array" aca="1" ref="H73" ca="1">INDEX($D$2:$D$101,RANDBETWEEN(1,ROWS(H74:H172)))</f>
        <v>Air Cooler</v>
      </c>
      <c r="I73" t="str">
        <f t="shared" ca="1" si="36"/>
        <v>Evaporative cooling appliance for rooms</v>
      </c>
      <c r="J73" t="str" cm="1">
        <f t="array" aca="1" ref="J73" ca="1">INDEX($D$2:$D$101,RANDBETWEEN(1,ROWS(J74:J172)))</f>
        <v>Smart Energy Monitor</v>
      </c>
      <c r="K73" t="str">
        <f t="shared" ca="1" si="37"/>
        <v>Tracks power consumption in real-time</v>
      </c>
      <c r="L73" t="str" cm="1">
        <f t="array" aca="1" ref="L73" ca="1">INDEX($D$2:$D$101,RANDBETWEEN(1,ROWS(L74:L172)))</f>
        <v>Ice Maker</v>
      </c>
      <c r="M73" t="str">
        <f t="shared" ca="1" si="38"/>
        <v>Machine that produces ice cubes automatically</v>
      </c>
      <c r="N73" t="str" cm="1">
        <f t="array" aca="1" ref="N73" ca="1">INDEX($D$2:$D$101,RANDBETWEEN(1,ROWS(N74:N172)))</f>
        <v>Electric Grill</v>
      </c>
      <c r="O73" t="str">
        <f t="shared" ca="1" si="39"/>
        <v>Indoor grill for meat and vegetables</v>
      </c>
      <c r="P73" t="str" cm="1">
        <f t="array" aca="1" ref="P73" ca="1">INDEX($D$2:$D$101,RANDBETWEEN(1,ROWS(P74:P172)))</f>
        <v>Facial Steamer</v>
      </c>
      <c r="Q73" t="str">
        <f t="shared" ca="1" si="40"/>
        <v>Opens pores for skincare routine</v>
      </c>
      <c r="R73" t="str" cm="1">
        <f t="array" aca="1" ref="R73" ca="1">INDEX($D$2:$D$101,RANDBETWEEN(1,ROWS(R74:R172)))</f>
        <v>Heated Eyelash Curler</v>
      </c>
      <c r="S73" t="str">
        <f t="shared" ca="1" si="41"/>
        <v>Shapes eyelashes with gentle heat</v>
      </c>
      <c r="T73" t="str" cm="1">
        <f t="array" aca="1" ref="T73" ca="1">INDEX($D$2:$D$101,RANDBETWEEN(1,ROWS(T74:T172)))</f>
        <v>Portable Air Conditioner</v>
      </c>
      <c r="U73" t="str">
        <f t="shared" ca="1" si="42"/>
        <v>Compact AC unit for small spaces</v>
      </c>
      <c r="V73" t="str" cm="1">
        <f t="array" aca="1" ref="V73" ca="1">INDEX($D$2:$D$101,RANDBETWEEN(1,ROWS(V74:V172)))</f>
        <v>Smart IR Remote</v>
      </c>
      <c r="W73" t="str">
        <f t="shared" ca="1" si="43"/>
        <v>Controls appliances via smartphone</v>
      </c>
      <c r="X73" t="str" cm="1">
        <f t="array" aca="1" ref="X73" ca="1">INDEX($D$2:$D$101,RANDBETWEEN(1,ROWS(X74:X172)))</f>
        <v>Crepe Maker</v>
      </c>
      <c r="Y73" t="str">
        <f t="shared" ca="1" si="44"/>
        <v>Electric pan for making crepes</v>
      </c>
      <c r="Z73" t="str" cm="1">
        <f t="array" aca="1" ref="Z73" ca="1">INDEX($D$2:$D$101,RANDBETWEEN(1,ROWS(Z74:Z172)))</f>
        <v>Electric Nail File Kit</v>
      </c>
      <c r="AA73" t="str">
        <f t="shared" ca="1" si="45"/>
        <v>For manicure and pedicure at home</v>
      </c>
      <c r="AB73" t="str" cm="1">
        <f t="array" aca="1" ref="AB73" ca="1">INDEX($D$2:$D$101,RANDBETWEEN(1,ROWS(AB74:AB172)))</f>
        <v>Air Humidifier with Light</v>
      </c>
      <c r="AC73" t="str">
        <f t="shared" ca="1" si="46"/>
        <v>Adds moisture and includes night light feature</v>
      </c>
      <c r="AD73" t="str" cm="1">
        <f t="array" aca="1" ref="AD73" ca="1">INDEX($D$2:$D$101,RANDBETWEEN(1,ROWS(AD74:AD172)))</f>
        <v>Electric Grill</v>
      </c>
      <c r="AE73" t="str">
        <f t="shared" ca="1" si="47"/>
        <v>Indoor grill for meat and vegetables</v>
      </c>
      <c r="AF73" t="str" cm="1">
        <f t="array" aca="1" ref="AF73" ca="1">INDEX($D$2:$D$101,RANDBETWEEN(1,ROWS(AF74:AF172)))</f>
        <v>Wi-Fi Range Extender</v>
      </c>
      <c r="AG73" t="str">
        <f t="shared" ca="1" si="48"/>
        <v>Boosts home Wi-Fi signal</v>
      </c>
      <c r="AH73" t="str" cm="1">
        <f t="array" aca="1" ref="AH73" ca="1">INDEX($D$2:$D$101,RANDBETWEEN(1,ROWS(AH74:AH172)))</f>
        <v>Desktop Air Purifier</v>
      </c>
      <c r="AI73" t="str">
        <f t="shared" ca="1" si="49"/>
        <v>Compact purifier for desks</v>
      </c>
      <c r="AJ73" t="str" cm="1">
        <f t="array" aca="1" ref="AJ73" ca="1">INDEX($D$2:$D$101,RANDBETWEEN(1,ROWS(AJ74:AJ172)))</f>
        <v>Electric Grill</v>
      </c>
      <c r="AK73" t="str">
        <f t="shared" ca="1" si="35"/>
        <v>Indoor grill for meat and vegetables</v>
      </c>
      <c r="AL73" t="str" cm="1">
        <f t="array" aca="1" ref="AL73" ca="1">INDEX($D$2:$D$101,RANDBETWEEN(1,ROWS(AL74:AL172)))</f>
        <v>Smart Refrigerator</v>
      </c>
      <c r="AM73" t="str">
        <f t="shared" ca="1" si="50"/>
        <v>Internet-connected fridge with touchscreen and smart controls</v>
      </c>
      <c r="AN73" t="str" cm="1">
        <f t="array" aca="1" ref="AN73" ca="1">INDEX($D$2:$D$101,RANDBETWEEN(1,ROWS(AN74:AN172)))</f>
        <v>Smart Energy Monitor</v>
      </c>
      <c r="AO73" t="str">
        <f t="shared" ca="1" si="51"/>
        <v>Tracks power consumption in real-time</v>
      </c>
      <c r="AP73" t="str" cm="1">
        <f t="array" aca="1" ref="AP73" ca="1">INDEX($D$2:$D$101,RANDBETWEEN(1,ROWS(AP74:AP172)))</f>
        <v>Desktop Air Purifier</v>
      </c>
      <c r="AQ73" t="str">
        <f t="shared" ca="1" si="52"/>
        <v>Compact purifier for desks</v>
      </c>
    </row>
    <row r="74" spans="1:43" ht="20.5" customHeight="1" x14ac:dyDescent="0.3">
      <c r="A74" s="22">
        <v>173</v>
      </c>
      <c r="B74" t="s">
        <v>390</v>
      </c>
      <c r="C74" s="1" t="s">
        <v>235</v>
      </c>
      <c r="D74" s="1" t="s">
        <v>236</v>
      </c>
      <c r="E74" s="1" t="s">
        <v>237</v>
      </c>
      <c r="F74" t="str" cm="1">
        <f t="array" aca="1" ref="F74" ca="1">INDEX($D$2:$D$101,RANDBETWEEN(1,ROWS(F75:F173)))</f>
        <v>Subwoofer</v>
      </c>
      <c r="G74" t="str">
        <f t="shared" ca="1" si="0"/>
        <v>Deep bass audio speaker</v>
      </c>
      <c r="H74" t="str" cm="1">
        <f t="array" aca="1" ref="H74" ca="1">INDEX($D$2:$D$101,RANDBETWEEN(1,ROWS(H75:H173)))</f>
        <v>Hygrometer</v>
      </c>
      <c r="I74" t="str">
        <f t="shared" ca="1" si="36"/>
        <v>Measures indoor humidity levels</v>
      </c>
      <c r="J74" t="str" cm="1">
        <f t="array" aca="1" ref="J74" ca="1">INDEX($D$2:$D$101,RANDBETWEEN(1,ROWS(J75:J173)))</f>
        <v>Magnetic Charging Cable</v>
      </c>
      <c r="K74" t="str">
        <f t="shared" ca="1" si="37"/>
        <v>Detachable magnetic USB cable</v>
      </c>
      <c r="L74" t="str" cm="1">
        <f t="array" aca="1" ref="L74" ca="1">INDEX($D$2:$D$101,RANDBETWEEN(1,ROWS(L75:L173)))</f>
        <v>Smart Mosquito Repeller</v>
      </c>
      <c r="M74" t="str">
        <f t="shared" ca="1" si="38"/>
        <v>USB-powered electronic insect repeller</v>
      </c>
      <c r="N74" t="str" cm="1">
        <f t="array" aca="1" ref="N74" ca="1">INDEX($D$2:$D$101,RANDBETWEEN(1,ROWS(N75:N173)))</f>
        <v>Ice Maker</v>
      </c>
      <c r="O74" t="str">
        <f t="shared" ca="1" si="39"/>
        <v>Machine that produces ice cubes automatically</v>
      </c>
      <c r="P74" t="str" cm="1">
        <f t="array" aca="1" ref="P74" ca="1">INDEX($D$2:$D$101,RANDBETWEEN(1,ROWS(P75:P173)))</f>
        <v>Plug-in Night Light</v>
      </c>
      <c r="Q74" t="str">
        <f t="shared" ca="1" si="40"/>
        <v>Low-power night light for rooms</v>
      </c>
      <c r="R74" t="str" cm="1">
        <f t="array" aca="1" ref="R74" ca="1">INDEX($D$2:$D$101,RANDBETWEEN(1,ROWS(R75:R173)))</f>
        <v>Rechargeable Torch</v>
      </c>
      <c r="S74" t="str">
        <f t="shared" ca="1" si="41"/>
        <v>Flashlight that can be recharged</v>
      </c>
      <c r="T74" t="str" cm="1">
        <f t="array" aca="1" ref="T74" ca="1">INDEX($D$2:$D$101,RANDBETWEEN(1,ROWS(T75:T173)))</f>
        <v>Portable Air Conditioner</v>
      </c>
      <c r="U74" t="str">
        <f t="shared" ca="1" si="42"/>
        <v>Compact AC unit for small spaces</v>
      </c>
      <c r="V74" t="str" cm="1">
        <f t="array" aca="1" ref="V74" ca="1">INDEX($D$2:$D$101,RANDBETWEEN(1,ROWS(V75:V173)))</f>
        <v>Dashcam Rear Camera</v>
      </c>
      <c r="W74" t="str">
        <f t="shared" ca="1" si="43"/>
        <v>Rear view recording for vehicles</v>
      </c>
      <c r="X74" t="str" cm="1">
        <f t="array" aca="1" ref="X74" ca="1">INDEX($D$2:$D$101,RANDBETWEEN(1,ROWS(X75:X173)))</f>
        <v>Automatic Hand Sanitizer</v>
      </c>
      <c r="Y74" t="str">
        <f t="shared" ca="1" si="44"/>
        <v>Touchless sanitizer dispenser</v>
      </c>
      <c r="Z74" t="str" cm="1">
        <f t="array" aca="1" ref="Z74" ca="1">INDEX($D$2:$D$101,RANDBETWEEN(1,ROWS(Z75:Z173)))</f>
        <v>Heated Eyelash Curler</v>
      </c>
      <c r="AA74" t="str">
        <f t="shared" ca="1" si="45"/>
        <v>Shapes eyelashes with gentle heat</v>
      </c>
      <c r="AB74" t="str" cm="1">
        <f t="array" aca="1" ref="AB74" ca="1">INDEX($D$2:$D$101,RANDBETWEEN(1,ROWS(AB75:AB173)))</f>
        <v>HDMI Switch</v>
      </c>
      <c r="AC74" t="str">
        <f t="shared" ca="1" si="46"/>
        <v>Connects multiple HDMI devices</v>
      </c>
      <c r="AD74" t="str" cm="1">
        <f t="array" aca="1" ref="AD74" ca="1">INDEX($D$2:$D$101,RANDBETWEEN(1,ROWS(AD75:AD173)))</f>
        <v>Smart Rearview Mirror</v>
      </c>
      <c r="AE74" t="str">
        <f t="shared" ca="1" si="47"/>
        <v>Touchscreen mirror with GPS and camera</v>
      </c>
      <c r="AF74" t="str" cm="1">
        <f t="array" aca="1" ref="AF74" ca="1">INDEX($D$2:$D$101,RANDBETWEEN(1,ROWS(AF75:AF173)))</f>
        <v>Smart IR Remote</v>
      </c>
      <c r="AG74" t="str">
        <f t="shared" ca="1" si="48"/>
        <v>Controls appliances via smartphone</v>
      </c>
      <c r="AH74" t="str" cm="1">
        <f t="array" aca="1" ref="AH74" ca="1">INDEX($D$2:$D$101,RANDBETWEEN(1,ROWS(AH75:AH173)))</f>
        <v>Smart Toothbrush</v>
      </c>
      <c r="AI74" t="str">
        <f t="shared" ca="1" si="49"/>
        <v>Electric brush with Bluetooth tracking</v>
      </c>
      <c r="AJ74" t="str" cm="1">
        <f t="array" aca="1" ref="AJ74" ca="1">INDEX($D$2:$D$101,RANDBETWEEN(1,ROWS(AJ75:AJ173)))</f>
        <v>Bluetooth Transmitter</v>
      </c>
      <c r="AK74" t="str">
        <f t="shared" ca="1" si="35"/>
        <v>Sends audio to Bluetooth devices</v>
      </c>
      <c r="AL74" t="str" cm="1">
        <f t="array" aca="1" ref="AL74" ca="1">INDEX($D$2:$D$101,RANDBETWEEN(1,ROWS(AL75:AL173)))</f>
        <v>Car Subwoofer</v>
      </c>
      <c r="AM74" t="str">
        <f t="shared" ca="1" si="50"/>
        <v>Audio upgrade for car music systems</v>
      </c>
      <c r="AN74" t="str" cm="1">
        <f t="array" aca="1" ref="AN74" ca="1">INDEX($D$2:$D$101,RANDBETWEEN(1,ROWS(AN75:AN173)))</f>
        <v>Smart Geyser</v>
      </c>
      <c r="AO74" t="str">
        <f t="shared" ca="1" si="51"/>
        <v>Internet-connected water heater</v>
      </c>
      <c r="AP74" t="str" cm="1">
        <f t="array" aca="1" ref="AP74" ca="1">INDEX($D$2:$D$101,RANDBETWEEN(1,ROWS(AP75:AP173)))</f>
        <v>Yogurt Maker</v>
      </c>
      <c r="AQ74" t="str">
        <f t="shared" ca="1" si="52"/>
        <v>Home appliance for making yogurt</v>
      </c>
    </row>
    <row r="75" spans="1:43" ht="20.5" customHeight="1" x14ac:dyDescent="0.3">
      <c r="A75" s="22">
        <v>174</v>
      </c>
      <c r="B75" t="s">
        <v>391</v>
      </c>
      <c r="C75" t="s">
        <v>20</v>
      </c>
      <c r="D75" s="1" t="s">
        <v>238</v>
      </c>
      <c r="E75" s="1" t="s">
        <v>239</v>
      </c>
      <c r="F75" t="str" cm="1">
        <f t="array" aca="1" ref="F75" ca="1">INDEX($D$2:$D$101,RANDBETWEEN(1,ROWS(F76:F174)))</f>
        <v>Car Subwoofer</v>
      </c>
      <c r="G75" t="str">
        <f t="shared" ca="1" si="0"/>
        <v>Audio upgrade for car music systems</v>
      </c>
      <c r="H75" t="str" cm="1">
        <f t="array" aca="1" ref="H75" ca="1">INDEX($D$2:$D$101,RANDBETWEEN(1,ROWS(H76:H174)))</f>
        <v>Water Dispenser</v>
      </c>
      <c r="I75" t="str">
        <f t="shared" ca="1" si="36"/>
        <v>Dispenses hot and cold water</v>
      </c>
      <c r="J75" t="str" cm="1">
        <f t="array" aca="1" ref="J75" ca="1">INDEX($D$2:$D$101,RANDBETWEEN(1,ROWS(J76:J174)))</f>
        <v>Hair Removal Epilator</v>
      </c>
      <c r="K75" t="str">
        <f t="shared" ca="1" si="37"/>
        <v>Plucks hair from root electrically</v>
      </c>
      <c r="L75" t="str" cm="1">
        <f t="array" aca="1" ref="L75" ca="1">INDEX($D$2:$D$101,RANDBETWEEN(1,ROWS(L76:L174)))</f>
        <v>HDMI Cable</v>
      </c>
      <c r="M75" t="str">
        <f t="shared" ca="1" si="38"/>
        <v>Transfers audio/video signals</v>
      </c>
      <c r="N75" t="str" cm="1">
        <f t="array" aca="1" ref="N75" ca="1">INDEX($D$2:$D$101,RANDBETWEEN(1,ROWS(N76:N174)))</f>
        <v>Instant Coffee Machine</v>
      </c>
      <c r="O75" t="str">
        <f t="shared" ca="1" si="39"/>
        <v>Brews coffee quickly and easily</v>
      </c>
      <c r="P75" t="str" cm="1">
        <f t="array" aca="1" ref="P75" ca="1">INDEX($D$2:$D$101,RANDBETWEEN(1,ROWS(P76:P174)))</f>
        <v>Electric Facial Brush</v>
      </c>
      <c r="Q75" t="str">
        <f t="shared" ca="1" si="40"/>
        <v>Cleansing brush for exfoliation</v>
      </c>
      <c r="R75" t="str" cm="1">
        <f t="array" aca="1" ref="R75" ca="1">INDEX($D$2:$D$101,RANDBETWEEN(1,ROWS(R76:R174)))</f>
        <v>Car Subwoofer</v>
      </c>
      <c r="S75" t="str">
        <f t="shared" ca="1" si="41"/>
        <v>Audio upgrade for car music systems</v>
      </c>
      <c r="T75" t="str" cm="1">
        <f t="array" aca="1" ref="T75" ca="1">INDEX($D$2:$D$101,RANDBETWEEN(1,ROWS(T76:T174)))</f>
        <v>Smart Rearview Mirror</v>
      </c>
      <c r="U75" t="str">
        <f t="shared" ca="1" si="42"/>
        <v>Touchscreen mirror with GPS and camera</v>
      </c>
      <c r="V75" t="str" cm="1">
        <f t="array" aca="1" ref="V75" ca="1">INDEX($D$2:$D$101,RANDBETWEEN(1,ROWS(V76:V174)))</f>
        <v>Emergency Solar Light</v>
      </c>
      <c r="W75" t="str">
        <f t="shared" ca="1" si="43"/>
        <v>Solar-powered backup light</v>
      </c>
      <c r="X75" t="str" cm="1">
        <f t="array" aca="1" ref="X75" ca="1">INDEX($D$2:$D$101,RANDBETWEEN(1,ROWS(X76:X174)))</f>
        <v>IPL Hair Removal Device</v>
      </c>
      <c r="Y75" t="str">
        <f t="shared" ca="1" si="44"/>
        <v>At-home laser hair removal system</v>
      </c>
      <c r="Z75" t="str" cm="1">
        <f t="array" aca="1" ref="Z75" ca="1">INDEX($D$2:$D$101,RANDBETWEEN(1,ROWS(Z76:Z174)))</f>
        <v>Waffle Maker</v>
      </c>
      <c r="AA75" t="str">
        <f t="shared" ca="1" si="45"/>
        <v>Makes waffles at home</v>
      </c>
      <c r="AB75" t="str" cm="1">
        <f t="array" aca="1" ref="AB75" ca="1">INDEX($D$2:$D$101,RANDBETWEEN(1,ROWS(AB76:AB174)))</f>
        <v>Bread Maker</v>
      </c>
      <c r="AC75" t="str">
        <f t="shared" ca="1" si="46"/>
        <v>Automatically bakes fresh bread</v>
      </c>
      <c r="AD75" t="str" cm="1">
        <f t="array" aca="1" ref="AD75" ca="1">INDEX($D$2:$D$101,RANDBETWEEN(1,ROWS(AD76:AD174)))</f>
        <v>Water Dispenser</v>
      </c>
      <c r="AE75" t="str">
        <f t="shared" ca="1" si="47"/>
        <v>Dispenses hot and cold water</v>
      </c>
      <c r="AF75" t="str" cm="1">
        <f t="array" aca="1" ref="AF75" ca="1">INDEX($D$2:$D$101,RANDBETWEEN(1,ROWS(AF76:AF174)))</f>
        <v>Chimney Hood</v>
      </c>
      <c r="AG75" t="str">
        <f t="shared" ca="1" si="48"/>
        <v>Kitchen exhaust for smoke and fumes</v>
      </c>
      <c r="AH75" t="str" cm="1">
        <f t="array" aca="1" ref="AH75" ca="1">INDEX($D$2:$D$101,RANDBETWEEN(1,ROWS(AH76:AH174)))</f>
        <v>Ultrasonic Skin Cleaner</v>
      </c>
      <c r="AI75" t="str">
        <f t="shared" ca="1" si="49"/>
        <v>Deep cleans skin using ultrasonic waves</v>
      </c>
      <c r="AJ75" t="str" cm="1">
        <f t="array" aca="1" ref="AJ75" ca="1">INDEX($D$2:$D$101,RANDBETWEEN(1,ROWS(AJ76:AJ174)))</f>
        <v>Air Humidifier with Light</v>
      </c>
      <c r="AK75" t="str">
        <f t="shared" ca="1" si="35"/>
        <v>Adds moisture and includes night light feature</v>
      </c>
      <c r="AL75" t="str" cm="1">
        <f t="array" aca="1" ref="AL75" ca="1">INDEX($D$2:$D$101,RANDBETWEEN(1,ROWS(AL76:AL174)))</f>
        <v>Yogurt Maker</v>
      </c>
      <c r="AM75" t="str">
        <f t="shared" ca="1" si="50"/>
        <v>Home appliance for making yogurt</v>
      </c>
      <c r="AN75" t="str" cm="1">
        <f t="array" aca="1" ref="AN75" ca="1">INDEX($D$2:$D$101,RANDBETWEEN(1,ROWS(AN76:AN174)))</f>
        <v>Indoor Thermometer</v>
      </c>
      <c r="AO75" t="str">
        <f t="shared" ca="1" si="51"/>
        <v>Displays indoor temperature</v>
      </c>
      <c r="AP75" t="str" cm="1">
        <f t="array" aca="1" ref="AP75" ca="1">INDEX($D$2:$D$101,RANDBETWEEN(1,ROWS(AP76:AP174)))</f>
        <v>Smart Energy Monitor</v>
      </c>
      <c r="AQ75" t="str">
        <f t="shared" ca="1" si="52"/>
        <v>Tracks power consumption in real-time</v>
      </c>
    </row>
    <row r="76" spans="1:43" ht="20.5" customHeight="1" x14ac:dyDescent="0.3">
      <c r="A76" s="22">
        <v>175</v>
      </c>
      <c r="B76" t="s">
        <v>392</v>
      </c>
      <c r="C76" t="s">
        <v>23</v>
      </c>
      <c r="D76" s="1" t="s">
        <v>240</v>
      </c>
      <c r="E76" s="1" t="s">
        <v>241</v>
      </c>
      <c r="F76" t="str" cm="1">
        <f t="array" aca="1" ref="F76" ca="1">INDEX($D$2:$D$101,RANDBETWEEN(1,ROWS(F77:F175)))</f>
        <v>Magnetic Charging Cable</v>
      </c>
      <c r="G76" t="str">
        <f t="shared" ca="1" si="0"/>
        <v>Detachable magnetic USB cable</v>
      </c>
      <c r="H76" t="str" cm="1">
        <f t="array" aca="1" ref="H76" ca="1">INDEX($D$2:$D$101,RANDBETWEEN(1,ROWS(H77:H175)))</f>
        <v>Egg Boiler</v>
      </c>
      <c r="I76" t="str">
        <f t="shared" ca="1" si="36"/>
        <v>Automatically boils eggs</v>
      </c>
      <c r="J76" t="str" cm="1">
        <f t="array" aca="1" ref="J76" ca="1">INDEX($D$2:$D$101,RANDBETWEEN(1,ROWS(J77:J175)))</f>
        <v>Callus Remover</v>
      </c>
      <c r="K76" t="str">
        <f t="shared" ca="1" si="37"/>
        <v>Removes dead skin from feet</v>
      </c>
      <c r="L76" t="str" cm="1">
        <f t="array" aca="1" ref="L76" ca="1">INDEX($D$2:$D$101,RANDBETWEEN(1,ROWS(L77:L175)))</f>
        <v>Motion Detector</v>
      </c>
      <c r="M76" t="str">
        <f t="shared" ca="1" si="38"/>
        <v>Triggers alarm or light on motion detection</v>
      </c>
      <c r="N76" t="str" cm="1">
        <f t="array" aca="1" ref="N76" ca="1">INDEX($D$2:$D$101,RANDBETWEEN(1,ROWS(N77:N175)))</f>
        <v>Smart Car Charger</v>
      </c>
      <c r="O76" t="str">
        <f t="shared" ca="1" si="39"/>
        <v>USB charger with smart protection features</v>
      </c>
      <c r="P76" t="str" cm="1">
        <f t="array" aca="1" ref="P76" ca="1">INDEX($D$2:$D$101,RANDBETWEEN(1,ROWS(P77:P175)))</f>
        <v>Electric Facial Brush</v>
      </c>
      <c r="Q76" t="str">
        <f t="shared" ca="1" si="40"/>
        <v>Cleansing brush for exfoliation</v>
      </c>
      <c r="R76" t="str" cm="1">
        <f t="array" aca="1" ref="R76" ca="1">INDEX($D$2:$D$101,RANDBETWEEN(1,ROWS(R77:R175)))</f>
        <v>Bluetooth Alarm Clock</v>
      </c>
      <c r="S76" t="str">
        <f t="shared" ca="1" si="41"/>
        <v>Combines alarm with Bluetooth speaker</v>
      </c>
      <c r="T76" t="str" cm="1">
        <f t="array" aca="1" ref="T76" ca="1">INDEX($D$2:$D$101,RANDBETWEEN(1,ROWS(T77:T175)))</f>
        <v>Automatic Hand Sanitizer</v>
      </c>
      <c r="U76" t="str">
        <f t="shared" ca="1" si="42"/>
        <v>Touchless sanitizer dispenser</v>
      </c>
      <c r="V76" t="str" cm="1">
        <f t="array" aca="1" ref="V76" ca="1">INDEX($D$2:$D$101,RANDBETWEEN(1,ROWS(V77:V175)))</f>
        <v>Portable Car Heater</v>
      </c>
      <c r="W76" t="str">
        <f t="shared" ca="1" si="43"/>
        <v>12V heater for car interiors</v>
      </c>
      <c r="X76" t="str" cm="1">
        <f t="array" aca="1" ref="X76" ca="1">INDEX($D$2:$D$101,RANDBETWEEN(1,ROWS(X77:X175)))</f>
        <v>Portable Power Station</v>
      </c>
      <c r="Y76" t="str">
        <f t="shared" ca="1" si="44"/>
        <v>Rechargeable power supply for outdoors</v>
      </c>
      <c r="Z76" t="str" cm="1">
        <f t="array" aca="1" ref="Z76" ca="1">INDEX($D$2:$D$101,RANDBETWEEN(1,ROWS(Z77:Z175)))</f>
        <v>LED Desk Lamp</v>
      </c>
      <c r="AA76" t="str">
        <f t="shared" ca="1" si="45"/>
        <v>Adjustable desk lamp with LED lighting</v>
      </c>
      <c r="AB76" t="str" cm="1">
        <f t="array" aca="1" ref="AB76" ca="1">INDEX($D$2:$D$101,RANDBETWEEN(1,ROWS(AB77:AB175)))</f>
        <v>Inverter AC</v>
      </c>
      <c r="AC76" t="str">
        <f t="shared" ca="1" si="46"/>
        <v>Energy-efficient air conditioner</v>
      </c>
      <c r="AD76" t="str" cm="1">
        <f t="array" aca="1" ref="AD76" ca="1">INDEX($D$2:$D$101,RANDBETWEEN(1,ROWS(AD77:AD175)))</f>
        <v>Extension Board with USB</v>
      </c>
      <c r="AE76" t="str">
        <f t="shared" ca="1" si="47"/>
        <v>Power strip with USB charging ports</v>
      </c>
      <c r="AF76" t="str" cm="1">
        <f t="array" aca="1" ref="AF76" ca="1">INDEX($D$2:$D$101,RANDBETWEEN(1,ROWS(AF77:AF175)))</f>
        <v>Digital Multimeter</v>
      </c>
      <c r="AG76" t="str">
        <f t="shared" ca="1" si="48"/>
        <v>Measures voltage, current, resistance</v>
      </c>
      <c r="AH76" t="str" cm="1">
        <f t="array" aca="1" ref="AH76" ca="1">INDEX($D$2:$D$101,RANDBETWEEN(1,ROWS(AH77:AH175)))</f>
        <v>Water Dispenser</v>
      </c>
      <c r="AI76" t="str">
        <f t="shared" ca="1" si="49"/>
        <v>Dispenses hot and cold water</v>
      </c>
      <c r="AJ76" t="str" cm="1">
        <f t="array" aca="1" ref="AJ76" ca="1">INDEX($D$2:$D$101,RANDBETWEEN(1,ROWS(AJ77:AJ175)))</f>
        <v>Air Humidifier with Light</v>
      </c>
      <c r="AK76" t="str">
        <f t="shared" ca="1" si="35"/>
        <v>Adds moisture and includes night light feature</v>
      </c>
      <c r="AL76" t="str" cm="1">
        <f t="array" aca="1" ref="AL76" ca="1">INDEX($D$2:$D$101,RANDBETWEEN(1,ROWS(AL77:AL175)))</f>
        <v>Gas Leak Detector</v>
      </c>
      <c r="AM76" t="str">
        <f t="shared" ca="1" si="50"/>
        <v>Detects gas leaks in the kitchen</v>
      </c>
      <c r="AN76" t="str" cm="1">
        <f t="array" aca="1" ref="AN76" ca="1">INDEX($D$2:$D$101,RANDBETWEEN(1,ROWS(AN77:AN175)))</f>
        <v>Pedestal Fan</v>
      </c>
      <c r="AO76" t="str">
        <f t="shared" ca="1" si="51"/>
        <v>Adjustable stand fan for personal cooling</v>
      </c>
      <c r="AP76" t="str" cm="1">
        <f t="array" aca="1" ref="AP76" ca="1">INDEX($D$2:$D$101,RANDBETWEEN(1,ROWS(AP77:AP175)))</f>
        <v>HDMI Cable</v>
      </c>
      <c r="AQ76" t="str">
        <f t="shared" ca="1" si="52"/>
        <v>Transfers audio/video signals</v>
      </c>
    </row>
    <row r="77" spans="1:43" ht="20.5" customHeight="1" x14ac:dyDescent="0.3">
      <c r="A77" s="22">
        <v>176</v>
      </c>
      <c r="B77" t="s">
        <v>393</v>
      </c>
      <c r="C77" t="s">
        <v>26</v>
      </c>
      <c r="D77" s="1" t="s">
        <v>242</v>
      </c>
      <c r="E77" s="1" t="s">
        <v>243</v>
      </c>
      <c r="F77" t="str" cm="1">
        <f t="array" aca="1" ref="F77" ca="1">INDEX($D$2:$D$101,RANDBETWEEN(1,ROWS(F78:F176)))</f>
        <v>Pancake Maker</v>
      </c>
      <c r="G77" t="str">
        <f t="shared" ca="1" si="0"/>
        <v>Easy tool for making pancakes</v>
      </c>
      <c r="H77" t="str" cm="1">
        <f t="array" aca="1" ref="H77" ca="1">INDEX($D$2:$D$101,RANDBETWEEN(1,ROWS(H78:H176)))</f>
        <v>Heated Eyelash Curler</v>
      </c>
      <c r="I77" t="str">
        <f t="shared" ca="1" si="36"/>
        <v>Shapes eyelashes with gentle heat</v>
      </c>
      <c r="J77" t="str" cm="1">
        <f t="array" aca="1" ref="J77" ca="1">INDEX($D$2:$D$101,RANDBETWEEN(1,ROWS(J78:J176)))</f>
        <v>Electric Nail File Kit</v>
      </c>
      <c r="K77" t="str">
        <f t="shared" ca="1" si="37"/>
        <v>For manicure and pedicure at home</v>
      </c>
      <c r="L77" t="str" cm="1">
        <f t="array" aca="1" ref="L77" ca="1">INDEX($D$2:$D$101,RANDBETWEEN(1,ROWS(L78:L176)))</f>
        <v>Smart Ceiling Light</v>
      </c>
      <c r="M77" t="str">
        <f t="shared" ca="1" si="38"/>
        <v>Wi-Fi-enabled, color-changing ceiling light</v>
      </c>
      <c r="N77" t="str" cm="1">
        <f t="array" aca="1" ref="N77" ca="1">INDEX($D$2:$D$101,RANDBETWEEN(1,ROWS(N78:N176)))</f>
        <v>Smart Rearview Mirror</v>
      </c>
      <c r="O77" t="str">
        <f t="shared" ca="1" si="39"/>
        <v>Touchscreen mirror with GPS and camera</v>
      </c>
      <c r="P77" t="str" cm="1">
        <f t="array" aca="1" ref="P77" ca="1">INDEX($D$2:$D$101,RANDBETWEEN(1,ROWS(P78:P176)))</f>
        <v>Soundbar</v>
      </c>
      <c r="Q77" t="str">
        <f t="shared" ca="1" si="40"/>
        <v>Compact speaker bar for TVs</v>
      </c>
      <c r="R77" t="str" cm="1">
        <f t="array" aca="1" ref="R77" ca="1">INDEX($D$2:$D$101,RANDBETWEEN(1,ROWS(R78:R176)))</f>
        <v>Electric Nail File Kit</v>
      </c>
      <c r="S77" t="str">
        <f t="shared" ca="1" si="41"/>
        <v>For manicure and pedicure at home</v>
      </c>
      <c r="T77" t="str" cm="1">
        <f t="array" aca="1" ref="T77" ca="1">INDEX($D$2:$D$101,RANDBETWEEN(1,ROWS(T78:T176)))</f>
        <v>Cord Organizer Box</v>
      </c>
      <c r="U77" t="str">
        <f t="shared" ca="1" si="42"/>
        <v>Box to hide and manage power strips</v>
      </c>
      <c r="V77" t="str" cm="1">
        <f t="array" aca="1" ref="V77" ca="1">INDEX($D$2:$D$101,RANDBETWEEN(1,ROWS(V78:V176)))</f>
        <v>Hygrometer</v>
      </c>
      <c r="W77" t="str">
        <f t="shared" ca="1" si="43"/>
        <v>Measures indoor humidity levels</v>
      </c>
      <c r="X77" t="str" cm="1">
        <f t="array" aca="1" ref="X77" ca="1">INDEX($D$2:$D$101,RANDBETWEEN(1,ROWS(X78:X176)))</f>
        <v>Yogurt Maker</v>
      </c>
      <c r="Y77" t="str">
        <f t="shared" ca="1" si="44"/>
        <v>Home appliance for making yogurt</v>
      </c>
      <c r="Z77" t="str" cm="1">
        <f t="array" aca="1" ref="Z77" ca="1">INDEX($D$2:$D$101,RANDBETWEEN(1,ROWS(Z78:Z176)))</f>
        <v>Electric Grill</v>
      </c>
      <c r="AA77" t="str">
        <f t="shared" ca="1" si="45"/>
        <v>Indoor grill for meat and vegetables</v>
      </c>
      <c r="AB77" t="str" cm="1">
        <f t="array" aca="1" ref="AB77" ca="1">INDEX($D$2:$D$101,RANDBETWEEN(1,ROWS(AB78:AB176)))</f>
        <v>Robot Vacuum Cleaner</v>
      </c>
      <c r="AC77" t="str">
        <f t="shared" ca="1" si="46"/>
        <v>Automated floor cleaning device</v>
      </c>
      <c r="AD77" t="str" cm="1">
        <f t="array" aca="1" ref="AD77" ca="1">INDEX($D$2:$D$101,RANDBETWEEN(1,ROWS(AD78:AD176)))</f>
        <v>Foldable Hair Dryer</v>
      </c>
      <c r="AE77" t="str">
        <f t="shared" ca="1" si="47"/>
        <v>Compact, travel-friendly hair dryer</v>
      </c>
      <c r="AF77" t="str" cm="1">
        <f t="array" aca="1" ref="AF77" ca="1">INDEX($D$2:$D$101,RANDBETWEEN(1,ROWS(AF78:AF176)))</f>
        <v>Robot Vacuum Cleaner</v>
      </c>
      <c r="AG77" t="str">
        <f t="shared" ca="1" si="48"/>
        <v>Automated floor cleaning device</v>
      </c>
      <c r="AH77" t="str" cm="1">
        <f t="array" aca="1" ref="AH77" ca="1">INDEX($D$2:$D$101,RANDBETWEEN(1,ROWS(AH78:AH176)))</f>
        <v>Solar Garden Light</v>
      </c>
      <c r="AI77" t="str">
        <f t="shared" ca="1" si="49"/>
        <v>Solar-powered outdoor lighting</v>
      </c>
      <c r="AJ77" t="str" cm="1">
        <f t="array" aca="1" ref="AJ77" ca="1">INDEX($D$2:$D$101,RANDBETWEEN(1,ROWS(AJ78:AJ176)))</f>
        <v>Solar Garden Light</v>
      </c>
      <c r="AK77" t="str">
        <f t="shared" ca="1" si="35"/>
        <v>Solar-powered outdoor lighting</v>
      </c>
      <c r="AL77" t="str" cm="1">
        <f t="array" aca="1" ref="AL77" ca="1">INDEX($D$2:$D$101,RANDBETWEEN(1,ROWS(AL78:AL176)))</f>
        <v>Smart Toothbrush</v>
      </c>
      <c r="AM77" t="str">
        <f t="shared" ca="1" si="50"/>
        <v>Electric brush with Bluetooth tracking</v>
      </c>
      <c r="AN77" t="str" cm="1">
        <f t="array" aca="1" ref="AN77" ca="1">INDEX($D$2:$D$101,RANDBETWEEN(1,ROWS(AN78:AN176)))</f>
        <v>Ultrasonic Humidifier</v>
      </c>
      <c r="AO77" t="str">
        <f t="shared" ca="1" si="51"/>
        <v>Mist-based humidifier using ultrasonic vibrations</v>
      </c>
      <c r="AP77" t="str" cm="1">
        <f t="array" aca="1" ref="AP77" ca="1">INDEX($D$2:$D$101,RANDBETWEEN(1,ROWS(AP78:AP176)))</f>
        <v>Hair Removal Epilator</v>
      </c>
      <c r="AQ77" t="str">
        <f t="shared" ca="1" si="52"/>
        <v>Plucks hair from root electrically</v>
      </c>
    </row>
    <row r="78" spans="1:43" ht="20.5" customHeight="1" x14ac:dyDescent="0.3">
      <c r="A78" s="22">
        <v>177</v>
      </c>
      <c r="B78" t="s">
        <v>394</v>
      </c>
      <c r="C78" t="s">
        <v>29</v>
      </c>
      <c r="D78" s="1" t="s">
        <v>244</v>
      </c>
      <c r="E78" s="1" t="s">
        <v>245</v>
      </c>
      <c r="F78" t="str" cm="1">
        <f t="array" aca="1" ref="F78" ca="1">INDEX($D$2:$D$101,RANDBETWEEN(1,ROWS(F79:F177)))</f>
        <v>Mesh Wi-Fi System</v>
      </c>
      <c r="G78" t="str">
        <f t="shared" ca="1" si="0"/>
        <v>Whole-home wireless coverage</v>
      </c>
      <c r="H78" t="str" cm="1">
        <f t="array" aca="1" ref="H78" ca="1">INDEX($D$2:$D$101,RANDBETWEEN(1,ROWS(H79:H177)))</f>
        <v>Espresso Machine</v>
      </c>
      <c r="I78" t="str">
        <f t="shared" ca="1" si="36"/>
        <v>Makes espresso coffee drinks</v>
      </c>
      <c r="J78" t="str" cm="1">
        <f t="array" aca="1" ref="J78" ca="1">INDEX($D$2:$D$101,RANDBETWEEN(1,ROWS(J79:J177)))</f>
        <v>Smart Mosquito Repeller</v>
      </c>
      <c r="K78" t="str">
        <f t="shared" ca="1" si="37"/>
        <v>USB-powered electronic insect repeller</v>
      </c>
      <c r="L78" t="str" cm="1">
        <f t="array" aca="1" ref="L78" ca="1">INDEX($D$2:$D$101,RANDBETWEEN(1,ROWS(L79:L177)))</f>
        <v>Instant Coffee Machine</v>
      </c>
      <c r="M78" t="str">
        <f t="shared" ca="1" si="38"/>
        <v>Brews coffee quickly and easily</v>
      </c>
      <c r="N78" t="str" cm="1">
        <f t="array" aca="1" ref="N78" ca="1">INDEX($D$2:$D$101,RANDBETWEEN(1,ROWS(N79:N177)))</f>
        <v>Subwoofer</v>
      </c>
      <c r="O78" t="str">
        <f t="shared" ca="1" si="39"/>
        <v>Deep bass audio speaker</v>
      </c>
      <c r="P78" t="str" cm="1">
        <f t="array" aca="1" ref="P78" ca="1">INDEX($D$2:$D$101,RANDBETWEEN(1,ROWS(P79:P177)))</f>
        <v>Soundbar</v>
      </c>
      <c r="Q78" t="str">
        <f t="shared" ca="1" si="40"/>
        <v>Compact speaker bar for TVs</v>
      </c>
      <c r="R78" t="str" cm="1">
        <f t="array" aca="1" ref="R78" ca="1">INDEX($D$2:$D$101,RANDBETWEEN(1,ROWS(R79:R177)))</f>
        <v>Smart Alarm Clock</v>
      </c>
      <c r="S78" t="str">
        <f t="shared" ca="1" si="41"/>
        <v>Alarm with smart features like weather, music, and lights</v>
      </c>
      <c r="T78" t="str" cm="1">
        <f t="array" aca="1" ref="T78" ca="1">INDEX($D$2:$D$101,RANDBETWEEN(1,ROWS(T79:T177)))</f>
        <v>Subwoofer</v>
      </c>
      <c r="U78" t="str">
        <f t="shared" ca="1" si="42"/>
        <v>Deep bass audio speaker</v>
      </c>
      <c r="V78" t="str" cm="1">
        <f t="array" aca="1" ref="V78" ca="1">INDEX($D$2:$D$101,RANDBETWEEN(1,ROWS(V79:V177)))</f>
        <v>Smart Ceiling Light</v>
      </c>
      <c r="W78" t="str">
        <f t="shared" ca="1" si="43"/>
        <v>Wi-Fi-enabled, color-changing ceiling light</v>
      </c>
      <c r="X78" t="str" cm="1">
        <f t="array" aca="1" ref="X78" ca="1">INDEX($D$2:$D$101,RANDBETWEEN(1,ROWS(X79:X177)))</f>
        <v>Subwoofer</v>
      </c>
      <c r="Y78" t="str">
        <f t="shared" ca="1" si="44"/>
        <v>Deep bass audio speaker</v>
      </c>
      <c r="Z78" t="str" cm="1">
        <f t="array" aca="1" ref="Z78" ca="1">INDEX($D$2:$D$101,RANDBETWEEN(1,ROWS(Z79:Z177)))</f>
        <v>Smart Weighing Scale</v>
      </c>
      <c r="AA78" t="str">
        <f t="shared" ca="1" si="45"/>
        <v>Body scale with app sync and health data</v>
      </c>
      <c r="AB78" t="str" cm="1">
        <f t="array" aca="1" ref="AB78" ca="1">INDEX($D$2:$D$101,RANDBETWEEN(1,ROWS(AB79:AB177)))</f>
        <v>Gas Leak Detector</v>
      </c>
      <c r="AC78" t="str">
        <f t="shared" ca="1" si="46"/>
        <v>Detects gas leaks in the kitchen</v>
      </c>
      <c r="AD78" t="str" cm="1">
        <f t="array" aca="1" ref="AD78" ca="1">INDEX($D$2:$D$101,RANDBETWEEN(1,ROWS(AD79:AD177)))</f>
        <v>Extension Board with USB</v>
      </c>
      <c r="AE78" t="str">
        <f t="shared" ca="1" si="47"/>
        <v>Power strip with USB charging ports</v>
      </c>
      <c r="AF78" t="str" cm="1">
        <f t="array" aca="1" ref="AF78" ca="1">INDEX($D$2:$D$101,RANDBETWEEN(1,ROWS(AF79:AF177)))</f>
        <v>Smart Smoke Detector</v>
      </c>
      <c r="AG78" t="str">
        <f t="shared" ca="1" si="48"/>
        <v>Smoke alarm with smart alerts</v>
      </c>
      <c r="AH78" t="str" cm="1">
        <f t="array" aca="1" ref="AH78" ca="1">INDEX($D$2:$D$101,RANDBETWEEN(1,ROWS(AH79:AH177)))</f>
        <v>Ceiling Light with Fan</v>
      </c>
      <c r="AI78" t="str">
        <f t="shared" ca="1" si="49"/>
        <v>Dual-function decorative ceiling light with built-in fan</v>
      </c>
      <c r="AJ78" t="str" cm="1">
        <f t="array" aca="1" ref="AJ78" ca="1">INDEX($D$2:$D$101,RANDBETWEEN(1,ROWS(AJ79:AJ177)))</f>
        <v>UV Toothbrush Sterilizer</v>
      </c>
      <c r="AK78" t="str">
        <f t="shared" ca="1" si="35"/>
        <v>Disinfects toothbrush using UV light</v>
      </c>
      <c r="AL78" t="str" cm="1">
        <f t="array" aca="1" ref="AL78" ca="1">INDEX($D$2:$D$101,RANDBETWEEN(1,ROWS(AL79:AL177)))</f>
        <v>Digital Multimeter</v>
      </c>
      <c r="AM78" t="str">
        <f t="shared" ca="1" si="50"/>
        <v>Measures voltage, current, resistance</v>
      </c>
      <c r="AN78" t="str" cm="1">
        <f t="array" aca="1" ref="AN78" ca="1">INDEX($D$2:$D$101,RANDBETWEEN(1,ROWS(AN79:AN177)))</f>
        <v>Smart Toothbrush</v>
      </c>
      <c r="AO78" t="str">
        <f t="shared" ca="1" si="51"/>
        <v>Electric brush with Bluetooth tracking</v>
      </c>
      <c r="AP78" t="str" cm="1">
        <f t="array" aca="1" ref="AP78" ca="1">INDEX($D$2:$D$101,RANDBETWEEN(1,ROWS(AP79:AP177)))</f>
        <v>Smart Mosquito Repeller</v>
      </c>
      <c r="AQ78" t="str">
        <f t="shared" ca="1" si="52"/>
        <v>USB-powered electronic insect repeller</v>
      </c>
    </row>
    <row r="79" spans="1:43" ht="20.5" customHeight="1" x14ac:dyDescent="0.3">
      <c r="A79" s="22">
        <v>178</v>
      </c>
      <c r="B79" t="s">
        <v>395</v>
      </c>
      <c r="C79" t="s">
        <v>32</v>
      </c>
      <c r="D79" s="1" t="s">
        <v>246</v>
      </c>
      <c r="E79" s="1" t="s">
        <v>247</v>
      </c>
      <c r="F79" t="str" cm="1">
        <f t="array" aca="1" ref="F79" ca="1">INDEX($D$2:$D$101,RANDBETWEEN(1,ROWS(F80:F178)))</f>
        <v>Kitchen Timer</v>
      </c>
      <c r="G79" t="str">
        <f t="shared" ca="1" si="0"/>
        <v>Digital countdown timer for cooking</v>
      </c>
      <c r="H79" t="str" cm="1">
        <f t="array" aca="1" ref="H79" ca="1">INDEX($D$2:$D$101,RANDBETWEEN(1,ROWS(H80:H178)))</f>
        <v>Motion Sensor Light</v>
      </c>
      <c r="I79" t="str">
        <f t="shared" ca="1" si="36"/>
        <v>Lights that activate on movement</v>
      </c>
      <c r="J79" t="str" cm="1">
        <f t="array" aca="1" ref="J79" ca="1">INDEX($D$2:$D$101,RANDBETWEEN(1,ROWS(J80:J178)))</f>
        <v>Bread Maker</v>
      </c>
      <c r="K79" t="str">
        <f t="shared" ca="1" si="37"/>
        <v>Automatically bakes fresh bread</v>
      </c>
      <c r="L79" t="str" cm="1">
        <f t="array" aca="1" ref="L79" ca="1">INDEX($D$2:$D$101,RANDBETWEEN(1,ROWS(L80:L178)))</f>
        <v>Pedestal Fan</v>
      </c>
      <c r="M79" t="str">
        <f t="shared" ca="1" si="38"/>
        <v>Adjustable stand fan for personal cooling</v>
      </c>
      <c r="N79" t="str" cm="1">
        <f t="array" aca="1" ref="N79" ca="1">INDEX($D$2:$D$101,RANDBETWEEN(1,ROWS(N80:N178)))</f>
        <v>Electric Facial Brush</v>
      </c>
      <c r="O79" t="str">
        <f t="shared" ca="1" si="39"/>
        <v>Cleansing brush for exfoliation</v>
      </c>
      <c r="P79" t="str" cm="1">
        <f t="array" aca="1" ref="P79" ca="1">INDEX($D$2:$D$101,RANDBETWEEN(1,ROWS(P80:P178)))</f>
        <v>Portable Induction Stove</v>
      </c>
      <c r="Q79" t="str">
        <f t="shared" ca="1" si="40"/>
        <v>Lightweight induction stove for mobile cooking</v>
      </c>
      <c r="R79" t="str" cm="1">
        <f t="array" aca="1" ref="R79" ca="1">INDEX($D$2:$D$101,RANDBETWEEN(1,ROWS(R80:R178)))</f>
        <v>Personal Neck Fan</v>
      </c>
      <c r="S79" t="str">
        <f t="shared" ca="1" si="41"/>
        <v>Wearable fan for hands-free cooling</v>
      </c>
      <c r="T79" t="str" cm="1">
        <f t="array" aca="1" ref="T79" ca="1">INDEX($D$2:$D$101,RANDBETWEEN(1,ROWS(T80:T178)))</f>
        <v>Chimney Hood</v>
      </c>
      <c r="U79" t="str">
        <f t="shared" ca="1" si="42"/>
        <v>Kitchen exhaust for smoke and fumes</v>
      </c>
      <c r="V79" t="str" cm="1">
        <f t="array" aca="1" ref="V79" ca="1">INDEX($D$2:$D$101,RANDBETWEEN(1,ROWS(V80:V178)))</f>
        <v>Portable Air Conditioner</v>
      </c>
      <c r="W79" t="str">
        <f t="shared" ca="1" si="43"/>
        <v>Compact AC unit for small spaces</v>
      </c>
      <c r="X79" t="str" cm="1">
        <f t="array" aca="1" ref="X79" ca="1">INDEX($D$2:$D$101,RANDBETWEEN(1,ROWS(X80:X178)))</f>
        <v>Electric Egg Beater</v>
      </c>
      <c r="Y79" t="str">
        <f t="shared" ca="1" si="44"/>
        <v>Handheld electric whisk for baking</v>
      </c>
      <c r="Z79" t="str" cm="1">
        <f t="array" aca="1" ref="Z79" ca="1">INDEX($D$2:$D$101,RANDBETWEEN(1,ROWS(Z80:Z178)))</f>
        <v>Ultrasonic Skin Cleaner</v>
      </c>
      <c r="AA79" t="str">
        <f t="shared" ca="1" si="45"/>
        <v>Deep cleans skin using ultrasonic waves</v>
      </c>
      <c r="AB79" t="str" cm="1">
        <f t="array" aca="1" ref="AB79" ca="1">INDEX($D$2:$D$101,RANDBETWEEN(1,ROWS(AB80:AB178)))</f>
        <v>Solar Garden Light</v>
      </c>
      <c r="AC79" t="str">
        <f t="shared" ca="1" si="46"/>
        <v>Solar-powered outdoor lighting</v>
      </c>
      <c r="AD79" t="str" cm="1">
        <f t="array" aca="1" ref="AD79" ca="1">INDEX($D$2:$D$101,RANDBETWEEN(1,ROWS(AD80:AD178)))</f>
        <v>Smart Ceiling Light</v>
      </c>
      <c r="AE79" t="str">
        <f t="shared" ca="1" si="47"/>
        <v>Wi-Fi-enabled, color-changing ceiling light</v>
      </c>
      <c r="AF79" t="str" cm="1">
        <f t="array" aca="1" ref="AF79" ca="1">INDEX($D$2:$D$101,RANDBETWEEN(1,ROWS(AF80:AF178)))</f>
        <v>TV Wall Mount</v>
      </c>
      <c r="AG79" t="str">
        <f t="shared" ca="1" si="48"/>
        <v>Mounting bracket for flat TVs</v>
      </c>
      <c r="AH79" t="str" cm="1">
        <f t="array" aca="1" ref="AH79" ca="1">INDEX($D$2:$D$101,RANDBETWEEN(1,ROWS(AH80:AH178)))</f>
        <v>Cold Press Juicer</v>
      </c>
      <c r="AI79" t="str">
        <f t="shared" ca="1" si="49"/>
        <v>Slow juicer for better nutrient retention</v>
      </c>
      <c r="AJ79" t="str" cm="1">
        <f t="array" aca="1" ref="AJ79" ca="1">INDEX($D$2:$D$101,RANDBETWEEN(1,ROWS(AJ80:AJ178)))</f>
        <v>Smart Refrigerator</v>
      </c>
      <c r="AK79" t="str">
        <f t="shared" ca="1" si="35"/>
        <v>Internet-connected fridge with touchscreen and smart controls</v>
      </c>
      <c r="AL79" t="str" cm="1">
        <f t="array" aca="1" ref="AL79" ca="1">INDEX($D$2:$D$101,RANDBETWEEN(1,ROWS(AL80:AL178)))</f>
        <v>HDMI Switch</v>
      </c>
      <c r="AM79" t="str">
        <f t="shared" ca="1" si="50"/>
        <v>Connects multiple HDMI devices</v>
      </c>
      <c r="AN79" t="str" cm="1">
        <f t="array" aca="1" ref="AN79" ca="1">INDEX($D$2:$D$101,RANDBETWEEN(1,ROWS(AN80:AN178)))</f>
        <v>Kitchen Timer</v>
      </c>
      <c r="AO79" t="str">
        <f t="shared" ca="1" si="51"/>
        <v>Digital countdown timer for cooking</v>
      </c>
      <c r="AP79" t="str" cm="1">
        <f t="array" aca="1" ref="AP79" ca="1">INDEX($D$2:$D$101,RANDBETWEEN(1,ROWS(AP80:AP178)))</f>
        <v>Smart Mosquito Repeller</v>
      </c>
      <c r="AQ79" t="str">
        <f t="shared" ca="1" si="52"/>
        <v>USB-powered electronic insect repeller</v>
      </c>
    </row>
    <row r="80" spans="1:43" ht="20.5" customHeight="1" x14ac:dyDescent="0.3">
      <c r="A80" s="22">
        <v>179</v>
      </c>
      <c r="B80" t="s">
        <v>396</v>
      </c>
      <c r="C80" t="s">
        <v>35</v>
      </c>
      <c r="D80" s="1" t="s">
        <v>248</v>
      </c>
      <c r="E80" s="1" t="s">
        <v>249</v>
      </c>
      <c r="F80" t="str" cm="1">
        <f t="array" aca="1" ref="F80" ca="1">INDEX($D$2:$D$101,RANDBETWEEN(1,ROWS(F81:F179)))</f>
        <v>Ultrasonic Humidifier</v>
      </c>
      <c r="G80" t="str">
        <f t="shared" ca="1" si="0"/>
        <v>Mist-based humidifier using ultrasonic vibrations</v>
      </c>
      <c r="H80" t="str" cm="1">
        <f t="array" aca="1" ref="H80" ca="1">INDEX($D$2:$D$101,RANDBETWEEN(1,ROWS(H81:H179)))</f>
        <v>Portable Car Heater</v>
      </c>
      <c r="I80" t="str">
        <f t="shared" ca="1" si="36"/>
        <v>12V heater for car interiors</v>
      </c>
      <c r="J80" t="str" cm="1">
        <f t="array" aca="1" ref="J80" ca="1">INDEX($D$2:$D$101,RANDBETWEEN(1,ROWS(J81:J179)))</f>
        <v>Robot Vacuum Cleaner</v>
      </c>
      <c r="K80" t="str">
        <f t="shared" ca="1" si="37"/>
        <v>Automated floor cleaning device</v>
      </c>
      <c r="L80" t="str" cm="1">
        <f t="array" aca="1" ref="L80" ca="1">INDEX($D$2:$D$101,RANDBETWEEN(1,ROWS(L81:L179)))</f>
        <v>Indoor Thermometer</v>
      </c>
      <c r="M80" t="str">
        <f t="shared" ca="1" si="38"/>
        <v>Displays indoor temperature</v>
      </c>
      <c r="N80" t="str" cm="1">
        <f t="array" aca="1" ref="N80" ca="1">INDEX($D$2:$D$101,RANDBETWEEN(1,ROWS(N81:N179)))</f>
        <v>Magnetic Charging Cable</v>
      </c>
      <c r="O80" t="str">
        <f t="shared" ca="1" si="39"/>
        <v>Detachable magnetic USB cable</v>
      </c>
      <c r="P80" t="str" cm="1">
        <f t="array" aca="1" ref="P80" ca="1">INDEX($D$2:$D$101,RANDBETWEEN(1,ROWS(P81:P179)))</f>
        <v>Motion Sensor Light</v>
      </c>
      <c r="Q80" t="str">
        <f t="shared" ca="1" si="40"/>
        <v>Lights that activate on movement</v>
      </c>
      <c r="R80" t="str" cm="1">
        <f t="array" aca="1" ref="R80" ca="1">INDEX($D$2:$D$101,RANDBETWEEN(1,ROWS(R81:R179)))</f>
        <v>Instant Coffee Machine</v>
      </c>
      <c r="S80" t="str">
        <f t="shared" ca="1" si="41"/>
        <v>Brews coffee quickly and easily</v>
      </c>
      <c r="T80" t="str" cm="1">
        <f t="array" aca="1" ref="T80" ca="1">INDEX($D$2:$D$101,RANDBETWEEN(1,ROWS(T81:T179)))</f>
        <v>Smart Refrigerator</v>
      </c>
      <c r="U80" t="str">
        <f t="shared" ca="1" si="42"/>
        <v>Internet-connected fridge with touchscreen and smart controls</v>
      </c>
      <c r="V80" t="str" cm="1">
        <f t="array" aca="1" ref="V80" ca="1">INDEX($D$2:$D$101,RANDBETWEEN(1,ROWS(V81:V179)))</f>
        <v>Smart Energy Monitor</v>
      </c>
      <c r="W80" t="str">
        <f t="shared" ca="1" si="43"/>
        <v>Tracks power consumption in real-time</v>
      </c>
      <c r="X80" t="str" cm="1">
        <f t="array" aca="1" ref="X80" ca="1">INDEX($D$2:$D$101,RANDBETWEEN(1,ROWS(X81:X179)))</f>
        <v>Robot Vacuum Cleaner</v>
      </c>
      <c r="Y80" t="str">
        <f t="shared" ca="1" si="44"/>
        <v>Automated floor cleaning device</v>
      </c>
      <c r="Z80" t="str" cm="1">
        <f t="array" aca="1" ref="Z80" ca="1">INDEX($D$2:$D$101,RANDBETWEEN(1,ROWS(Z81:Z179)))</f>
        <v>Callus Remover</v>
      </c>
      <c r="AA80" t="str">
        <f t="shared" ca="1" si="45"/>
        <v>Removes dead skin from feet</v>
      </c>
      <c r="AB80" t="str" cm="1">
        <f t="array" aca="1" ref="AB80" ca="1">INDEX($D$2:$D$101,RANDBETWEEN(1,ROWS(AB81:AB179)))</f>
        <v>Egg Boiler</v>
      </c>
      <c r="AC80" t="str">
        <f t="shared" ca="1" si="46"/>
        <v>Automatically boils eggs</v>
      </c>
      <c r="AD80" t="str" cm="1">
        <f t="array" aca="1" ref="AD80" ca="1">INDEX($D$2:$D$101,RANDBETWEEN(1,ROWS(AD81:AD179)))</f>
        <v>Dashcam Rear Camera</v>
      </c>
      <c r="AE80" t="str">
        <f t="shared" ca="1" si="47"/>
        <v>Rear view recording for vehicles</v>
      </c>
      <c r="AF80" t="str" cm="1">
        <f t="array" aca="1" ref="AF80" ca="1">INDEX($D$2:$D$101,RANDBETWEEN(1,ROWS(AF81:AF179)))</f>
        <v>Smart Weighing Scale</v>
      </c>
      <c r="AG80" t="str">
        <f t="shared" ca="1" si="48"/>
        <v>Body scale with app sync and health data</v>
      </c>
      <c r="AH80" t="str" cm="1">
        <f t="array" aca="1" ref="AH80" ca="1">INDEX($D$2:$D$101,RANDBETWEEN(1,ROWS(AH81:AH179)))</f>
        <v>Foldable Hair Dryer</v>
      </c>
      <c r="AI80" t="str">
        <f t="shared" ca="1" si="49"/>
        <v>Compact, travel-friendly hair dryer</v>
      </c>
      <c r="AJ80" t="str" cm="1">
        <f t="array" aca="1" ref="AJ80" ca="1">INDEX($D$2:$D$101,RANDBETWEEN(1,ROWS(AJ81:AJ179)))</f>
        <v>Emergency Solar Light</v>
      </c>
      <c r="AK80" t="str">
        <f t="shared" ca="1" si="35"/>
        <v>Solar-powered backup light</v>
      </c>
      <c r="AL80" t="str" cm="1">
        <f t="array" aca="1" ref="AL80" ca="1">INDEX($D$2:$D$101,RANDBETWEEN(1,ROWS(AL81:AL179)))</f>
        <v>Mini Bluetooth Receiver</v>
      </c>
      <c r="AM80" t="str">
        <f t="shared" ca="1" si="50"/>
        <v>Adds Bluetooth to non-Bluetooth devices</v>
      </c>
      <c r="AN80" t="str" cm="1">
        <f t="array" aca="1" ref="AN80" ca="1">INDEX($D$2:$D$101,RANDBETWEEN(1,ROWS(AN81:AN179)))</f>
        <v>Dashcam Rear Camera</v>
      </c>
      <c r="AO80" t="str">
        <f t="shared" ca="1" si="51"/>
        <v>Rear view recording for vehicles</v>
      </c>
      <c r="AP80" t="str" cm="1">
        <f t="array" aca="1" ref="AP80" ca="1">INDEX($D$2:$D$101,RANDBETWEEN(1,ROWS(AP81:AP179)))</f>
        <v>Kitchen Timer</v>
      </c>
      <c r="AQ80" t="str">
        <f t="shared" ca="1" si="52"/>
        <v>Digital countdown timer for cooking</v>
      </c>
    </row>
    <row r="81" spans="1:43" ht="20.5" customHeight="1" x14ac:dyDescent="0.3">
      <c r="A81" s="22">
        <v>180</v>
      </c>
      <c r="B81" t="s">
        <v>397</v>
      </c>
      <c r="C81" t="s">
        <v>38</v>
      </c>
      <c r="D81" s="1" t="s">
        <v>250</v>
      </c>
      <c r="E81" s="1" t="s">
        <v>251</v>
      </c>
      <c r="F81" t="str" cm="1">
        <f t="array" aca="1" ref="F81" ca="1">INDEX($D$2:$D$101,RANDBETWEEN(1,ROWS(F82:F180)))</f>
        <v>TV Wall Mount</v>
      </c>
      <c r="G81" t="str">
        <f t="shared" ca="1" si="0"/>
        <v>Mounting bracket for flat TVs</v>
      </c>
      <c r="H81" t="str" cm="1">
        <f t="array" aca="1" ref="H81" ca="1">INDEX($D$2:$D$101,RANDBETWEEN(1,ROWS(H82:H180)))</f>
        <v>Pedestal Fan</v>
      </c>
      <c r="I81" t="str">
        <f t="shared" ca="1" si="36"/>
        <v>Adjustable stand fan for personal cooling</v>
      </c>
      <c r="J81" t="str" cm="1">
        <f t="array" aca="1" ref="J81" ca="1">INDEX($D$2:$D$101,RANDBETWEEN(1,ROWS(J82:J180)))</f>
        <v>Pancake Maker</v>
      </c>
      <c r="K81" t="str">
        <f t="shared" ca="1" si="37"/>
        <v>Easy tool for making pancakes</v>
      </c>
      <c r="L81" t="str" cm="1">
        <f t="array" aca="1" ref="L81" ca="1">INDEX($D$2:$D$101,RANDBETWEEN(1,ROWS(L82:L180)))</f>
        <v>Extension Board with USB</v>
      </c>
      <c r="M81" t="str">
        <f t="shared" ca="1" si="38"/>
        <v>Power strip with USB charging ports</v>
      </c>
      <c r="N81" t="str" cm="1">
        <f t="array" aca="1" ref="N81" ca="1">INDEX($D$2:$D$101,RANDBETWEEN(1,ROWS(N82:N180)))</f>
        <v>Smart Refrigerator</v>
      </c>
      <c r="O81" t="str">
        <f t="shared" ca="1" si="39"/>
        <v>Internet-connected fridge with touchscreen and smart controls</v>
      </c>
      <c r="P81" t="str" cm="1">
        <f t="array" aca="1" ref="P81" ca="1">INDEX($D$2:$D$101,RANDBETWEEN(1,ROWS(P82:P180)))</f>
        <v>Solar Garden Light</v>
      </c>
      <c r="Q81" t="str">
        <f t="shared" ca="1" si="40"/>
        <v>Solar-powered outdoor lighting</v>
      </c>
      <c r="R81" t="str" cm="1">
        <f t="array" aca="1" ref="R81" ca="1">INDEX($D$2:$D$101,RANDBETWEEN(1,ROWS(R82:R180)))</f>
        <v>Rechargeable Torch</v>
      </c>
      <c r="S81" t="str">
        <f t="shared" ca="1" si="41"/>
        <v>Flashlight that can be recharged</v>
      </c>
      <c r="T81" t="str" cm="1">
        <f t="array" aca="1" ref="T81" ca="1">INDEX($D$2:$D$101,RANDBETWEEN(1,ROWS(T82:T180)))</f>
        <v>Air Humidifier with Light</v>
      </c>
      <c r="U81" t="str">
        <f t="shared" ca="1" si="42"/>
        <v>Adds moisture and includes night light feature</v>
      </c>
      <c r="V81" t="str" cm="1">
        <f t="array" aca="1" ref="V81" ca="1">INDEX($D$2:$D$101,RANDBETWEEN(1,ROWS(V82:V180)))</f>
        <v>Smart Switch</v>
      </c>
      <c r="W81" t="str">
        <f t="shared" ca="1" si="43"/>
        <v>Wi-Fi-enabled wall switch for remote operation</v>
      </c>
      <c r="X81" t="str" cm="1">
        <f t="array" aca="1" ref="X81" ca="1">INDEX($D$2:$D$101,RANDBETWEEN(1,ROWS(X82:X180)))</f>
        <v>Milk Frother</v>
      </c>
      <c r="Y81" t="str">
        <f t="shared" ca="1" si="44"/>
        <v>Froths milk for lattes and cappuccinos</v>
      </c>
      <c r="Z81" t="str" cm="1">
        <f t="array" aca="1" ref="Z81" ca="1">INDEX($D$2:$D$101,RANDBETWEEN(1,ROWS(Z82:Z180)))</f>
        <v>Roti Maker</v>
      </c>
      <c r="AA81" t="str">
        <f t="shared" ca="1" si="45"/>
        <v>Flattens and cooks Indian flatbreads</v>
      </c>
      <c r="AB81" t="str" cm="1">
        <f t="array" aca="1" ref="AB81" ca="1">INDEX($D$2:$D$101,RANDBETWEEN(1,ROWS(AB82:AB180)))</f>
        <v>Callus Remover</v>
      </c>
      <c r="AC81" t="str">
        <f t="shared" ca="1" si="46"/>
        <v>Removes dead skin from feet</v>
      </c>
      <c r="AD81" t="str" cm="1">
        <f t="array" aca="1" ref="AD81" ca="1">INDEX($D$2:$D$101,RANDBETWEEN(1,ROWS(AD82:AD180)))</f>
        <v>Laptop Stand</v>
      </c>
      <c r="AE81" t="str">
        <f t="shared" ca="1" si="47"/>
        <v>Raises laptop for ergonomic use</v>
      </c>
      <c r="AF81" t="str" cm="1">
        <f t="array" aca="1" ref="AF81" ca="1">INDEX($D$2:$D$101,RANDBETWEEN(1,ROWS(AF82:AF180)))</f>
        <v>Inverter AC</v>
      </c>
      <c r="AG81" t="str">
        <f t="shared" ca="1" si="48"/>
        <v>Energy-efficient air conditioner</v>
      </c>
      <c r="AH81" t="str" cm="1">
        <f t="array" aca="1" ref="AH81" ca="1">INDEX($D$2:$D$101,RANDBETWEEN(1,ROWS(AH82:AH180)))</f>
        <v>Bluetooth Transmitter</v>
      </c>
      <c r="AI81" t="str">
        <f t="shared" ca="1" si="49"/>
        <v>Sends audio to Bluetooth devices</v>
      </c>
      <c r="AJ81" t="str" cm="1">
        <f t="array" aca="1" ref="AJ81" ca="1">INDEX($D$2:$D$101,RANDBETWEEN(1,ROWS(AJ82:AJ180)))</f>
        <v>Digital Multimeter</v>
      </c>
      <c r="AK81" t="str">
        <f t="shared" ca="1" si="35"/>
        <v>Measures voltage, current, resistance</v>
      </c>
      <c r="AL81" t="str" cm="1">
        <f t="array" aca="1" ref="AL81" ca="1">INDEX($D$2:$D$101,RANDBETWEEN(1,ROWS(AL82:AL180)))</f>
        <v>Kitchen Weighing Scale</v>
      </c>
      <c r="AM81" t="str">
        <f t="shared" ca="1" si="50"/>
        <v>Measures food portions accurately</v>
      </c>
      <c r="AN81" t="str" cm="1">
        <f t="array" aca="1" ref="AN81" ca="1">INDEX($D$2:$D$101,RANDBETWEEN(1,ROWS(AN82:AN180)))</f>
        <v>Room Heater</v>
      </c>
      <c r="AO81" t="str">
        <f t="shared" ca="1" si="51"/>
        <v>Electric heater for indoor heating</v>
      </c>
      <c r="AP81" t="str" cm="1">
        <f t="array" aca="1" ref="AP81" ca="1">INDEX($D$2:$D$101,RANDBETWEEN(1,ROWS(AP82:AP180)))</f>
        <v>Yogurt Maker</v>
      </c>
      <c r="AQ81" t="str">
        <f t="shared" ca="1" si="52"/>
        <v>Home appliance for making yogurt</v>
      </c>
    </row>
    <row r="82" spans="1:43" ht="20.5" customHeight="1" x14ac:dyDescent="0.3">
      <c r="A82" s="22">
        <v>181</v>
      </c>
      <c r="B82" t="s">
        <v>398</v>
      </c>
      <c r="C82" t="s">
        <v>41</v>
      </c>
      <c r="D82" s="1" t="s">
        <v>252</v>
      </c>
      <c r="E82" s="1" t="s">
        <v>253</v>
      </c>
      <c r="F82" t="str" cm="1">
        <f t="array" aca="1" ref="F82" ca="1">INDEX($D$2:$D$101,RANDBETWEEN(1,ROWS(F83:F181)))</f>
        <v>Kitchen Weighing Scale</v>
      </c>
      <c r="G82" t="str">
        <f t="shared" ca="1" si="0"/>
        <v>Measures food portions accurately</v>
      </c>
      <c r="H82" t="str" cm="1">
        <f t="array" aca="1" ref="H82" ca="1">INDEX($D$2:$D$101,RANDBETWEEN(1,ROWS(H83:H181)))</f>
        <v>DisplayPort Cable</v>
      </c>
      <c r="I82" t="str">
        <f t="shared" ca="1" si="36"/>
        <v>High-resolution monitor cable</v>
      </c>
      <c r="J82" t="str" cm="1">
        <f t="array" aca="1" ref="J82" ca="1">INDEX($D$2:$D$101,RANDBETWEEN(1,ROWS(J83:J181)))</f>
        <v>Smart Mosquito Repeller</v>
      </c>
      <c r="K82" t="str">
        <f t="shared" ca="1" si="37"/>
        <v>USB-powered electronic insect repeller</v>
      </c>
      <c r="L82" t="str" cm="1">
        <f t="array" aca="1" ref="L82" ca="1">INDEX($D$2:$D$101,RANDBETWEEN(1,ROWS(L83:L181)))</f>
        <v>UV Toothbrush Sterilizer</v>
      </c>
      <c r="M82" t="str">
        <f t="shared" ca="1" si="38"/>
        <v>Disinfects toothbrush using UV light</v>
      </c>
      <c r="N82" t="str" cm="1">
        <f t="array" aca="1" ref="N82" ca="1">INDEX($D$2:$D$101,RANDBETWEEN(1,ROWS(N83:N181)))</f>
        <v>LED Strip with Remote</v>
      </c>
      <c r="O82" t="str">
        <f t="shared" ca="1" si="39"/>
        <v>Customizable LED lighting with remote control</v>
      </c>
      <c r="P82" t="str" cm="1">
        <f t="array" aca="1" ref="P82" ca="1">INDEX($D$2:$D$101,RANDBETWEEN(1,ROWS(P83:P181)))</f>
        <v>Wi-Fi Range Extender</v>
      </c>
      <c r="Q82" t="str">
        <f t="shared" ca="1" si="40"/>
        <v>Boosts home Wi-Fi signal</v>
      </c>
      <c r="R82" t="str" cm="1">
        <f t="array" aca="1" ref="R82" ca="1">INDEX($D$2:$D$101,RANDBETWEEN(1,ROWS(R83:R181)))</f>
        <v>IPL Hair Removal Device</v>
      </c>
      <c r="S82" t="str">
        <f t="shared" ca="1" si="41"/>
        <v>At-home laser hair removal system</v>
      </c>
      <c r="T82" t="str" cm="1">
        <f t="array" aca="1" ref="T82" ca="1">INDEX($D$2:$D$101,RANDBETWEEN(1,ROWS(T83:T181)))</f>
        <v>Roti Maker</v>
      </c>
      <c r="U82" t="str">
        <f t="shared" ca="1" si="42"/>
        <v>Flattens and cooks Indian flatbreads</v>
      </c>
      <c r="V82" t="str" cm="1">
        <f t="array" aca="1" ref="V82" ca="1">INDEX($D$2:$D$101,RANDBETWEEN(1,ROWS(V83:V181)))</f>
        <v>Air Cooler</v>
      </c>
      <c r="W82" t="str">
        <f t="shared" ca="1" si="43"/>
        <v>Evaporative cooling appliance for rooms</v>
      </c>
      <c r="X82" t="str" cm="1">
        <f t="array" aca="1" ref="X82" ca="1">INDEX($D$2:$D$101,RANDBETWEEN(1,ROWS(X83:X181)))</f>
        <v>Pancake Maker</v>
      </c>
      <c r="Y82" t="str">
        <f t="shared" ca="1" si="44"/>
        <v>Easy tool for making pancakes</v>
      </c>
      <c r="Z82" t="str" cm="1">
        <f t="array" aca="1" ref="Z82" ca="1">INDEX($D$2:$D$101,RANDBETWEEN(1,ROWS(Z83:Z181)))</f>
        <v>Motion Detector</v>
      </c>
      <c r="AA82" t="str">
        <f t="shared" ca="1" si="45"/>
        <v>Triggers alarm or light on motion detection</v>
      </c>
      <c r="AB82" t="str" cm="1">
        <f t="array" aca="1" ref="AB82" ca="1">INDEX($D$2:$D$101,RANDBETWEEN(1,ROWS(AB83:AB181)))</f>
        <v>Digital Multimeter</v>
      </c>
      <c r="AC82" t="str">
        <f t="shared" ca="1" si="46"/>
        <v>Measures voltage, current, resistance</v>
      </c>
      <c r="AD82" t="str" cm="1">
        <f t="array" aca="1" ref="AD82" ca="1">INDEX($D$2:$D$101,RANDBETWEEN(1,ROWS(AD83:AD181)))</f>
        <v>Smart IR Remote</v>
      </c>
      <c r="AE82" t="str">
        <f t="shared" ca="1" si="47"/>
        <v>Controls appliances via smartphone</v>
      </c>
      <c r="AF82" t="str" cm="1">
        <f t="array" aca="1" ref="AF82" ca="1">INDEX($D$2:$D$101,RANDBETWEEN(1,ROWS(AF83:AF181)))</f>
        <v>Hygrometer</v>
      </c>
      <c r="AG82" t="str">
        <f t="shared" ca="1" si="48"/>
        <v>Measures indoor humidity levels</v>
      </c>
      <c r="AH82" t="str" cm="1">
        <f t="array" aca="1" ref="AH82" ca="1">INDEX($D$2:$D$101,RANDBETWEEN(1,ROWS(AH83:AH181)))</f>
        <v>Cold Press Juicer</v>
      </c>
      <c r="AI82" t="str">
        <f t="shared" ca="1" si="49"/>
        <v>Slow juicer for better nutrient retention</v>
      </c>
      <c r="AJ82" t="str" cm="1">
        <f t="array" aca="1" ref="AJ82" ca="1">INDEX($D$2:$D$101,RANDBETWEEN(1,ROWS(AJ83:AJ181)))</f>
        <v>Desktop Air Purifier</v>
      </c>
      <c r="AK82" t="str">
        <f t="shared" ca="1" si="35"/>
        <v>Compact purifier for desks</v>
      </c>
      <c r="AL82" t="str" cm="1">
        <f t="array" aca="1" ref="AL82" ca="1">INDEX($D$2:$D$101,RANDBETWEEN(1,ROWS(AL83:AL181)))</f>
        <v>Facial Steamer</v>
      </c>
      <c r="AM82" t="str">
        <f t="shared" ca="1" si="50"/>
        <v>Opens pores for skincare routine</v>
      </c>
      <c r="AN82" t="str" cm="1">
        <f t="array" aca="1" ref="AN82" ca="1">INDEX($D$2:$D$101,RANDBETWEEN(1,ROWS(AN83:AN181)))</f>
        <v>Smart Weighing Scale</v>
      </c>
      <c r="AO82" t="str">
        <f t="shared" ca="1" si="51"/>
        <v>Body scale with app sync and health data</v>
      </c>
      <c r="AP82" t="str" cm="1">
        <f t="array" aca="1" ref="AP82" ca="1">INDEX($D$2:$D$101,RANDBETWEEN(1,ROWS(AP83:AP181)))</f>
        <v>USB-C Docking Station</v>
      </c>
      <c r="AQ82" t="str">
        <f t="shared" ca="1" si="52"/>
        <v>Expands ports for laptops</v>
      </c>
    </row>
    <row r="83" spans="1:43" ht="20.5" customHeight="1" x14ac:dyDescent="0.3">
      <c r="A83" s="22">
        <v>182</v>
      </c>
      <c r="B83" t="s">
        <v>399</v>
      </c>
      <c r="C83" t="s">
        <v>44</v>
      </c>
      <c r="D83" s="1" t="s">
        <v>254</v>
      </c>
      <c r="E83" s="1" t="s">
        <v>255</v>
      </c>
      <c r="F83" t="str" cm="1">
        <f t="array" aca="1" ref="F83" ca="1">INDEX($D$2:$D$101,RANDBETWEEN(1,ROWS(F84:F182)))</f>
        <v>Robot Vacuum Cleaner</v>
      </c>
      <c r="G83" t="str">
        <f t="shared" ca="1" si="0"/>
        <v>Automated floor cleaning device</v>
      </c>
      <c r="H83" t="str" cm="1">
        <f t="array" aca="1" ref="H83" ca="1">INDEX($D$2:$D$101,RANDBETWEEN(1,ROWS(H84:H182)))</f>
        <v>Instant Coffee Machine</v>
      </c>
      <c r="I83" t="str">
        <f t="shared" ca="1" si="36"/>
        <v>Brews coffee quickly and easily</v>
      </c>
      <c r="J83" t="str" cm="1">
        <f t="array" aca="1" ref="J83" ca="1">INDEX($D$2:$D$101,RANDBETWEEN(1,ROWS(J84:J182)))</f>
        <v>Smart Alarm Clock</v>
      </c>
      <c r="K83" t="str">
        <f t="shared" ca="1" si="37"/>
        <v>Alarm with smart features like weather, music, and lights</v>
      </c>
      <c r="L83" t="str" cm="1">
        <f t="array" aca="1" ref="L83" ca="1">INDEX($D$2:$D$101,RANDBETWEEN(1,ROWS(L84:L182)))</f>
        <v>Ceiling Light with Fan</v>
      </c>
      <c r="M83" t="str">
        <f t="shared" ca="1" si="38"/>
        <v>Dual-function decorative ceiling light with built-in fan</v>
      </c>
      <c r="N83" t="str" cm="1">
        <f t="array" aca="1" ref="N83" ca="1">INDEX($D$2:$D$101,RANDBETWEEN(1,ROWS(N84:N182)))</f>
        <v>Smart Smoke Detector</v>
      </c>
      <c r="O83" t="str">
        <f t="shared" ca="1" si="39"/>
        <v>Smoke alarm with smart alerts</v>
      </c>
      <c r="P83" t="str" cm="1">
        <f t="array" aca="1" ref="P83" ca="1">INDEX($D$2:$D$101,RANDBETWEEN(1,ROWS(P84:P182)))</f>
        <v>Facial Steamer</v>
      </c>
      <c r="Q83" t="str">
        <f t="shared" ca="1" si="40"/>
        <v>Opens pores for skincare routine</v>
      </c>
      <c r="R83" t="str" cm="1">
        <f t="array" aca="1" ref="R83" ca="1">INDEX($D$2:$D$101,RANDBETWEEN(1,ROWS(R84:R182)))</f>
        <v>Smart Air Conditioner</v>
      </c>
      <c r="S83" t="str">
        <f t="shared" ca="1" si="41"/>
        <v>AC unit controllable via smartphone or voice</v>
      </c>
      <c r="T83" t="str" cm="1">
        <f t="array" aca="1" ref="T83" ca="1">INDEX($D$2:$D$101,RANDBETWEEN(1,ROWS(T84:T182)))</f>
        <v>Pancake Maker</v>
      </c>
      <c r="U83" t="str">
        <f t="shared" ca="1" si="42"/>
        <v>Easy tool for making pancakes</v>
      </c>
      <c r="V83" t="str" cm="1">
        <f t="array" aca="1" ref="V83" ca="1">INDEX($D$2:$D$101,RANDBETWEEN(1,ROWS(V84:V182)))</f>
        <v>Chimney Hood</v>
      </c>
      <c r="W83" t="str">
        <f t="shared" ca="1" si="43"/>
        <v>Kitchen exhaust for smoke and fumes</v>
      </c>
      <c r="X83" t="str" cm="1">
        <f t="array" aca="1" ref="X83" ca="1">INDEX($D$2:$D$101,RANDBETWEEN(1,ROWS(X84:X182)))</f>
        <v>Solar Garden Light</v>
      </c>
      <c r="Y83" t="str">
        <f t="shared" ca="1" si="44"/>
        <v>Solar-powered outdoor lighting</v>
      </c>
      <c r="Z83" t="str" cm="1">
        <f t="array" aca="1" ref="Z83" ca="1">INDEX($D$2:$D$101,RANDBETWEEN(1,ROWS(Z84:Z182)))</f>
        <v>Bluetooth Transmitter</v>
      </c>
      <c r="AA83" t="str">
        <f t="shared" ca="1" si="45"/>
        <v>Sends audio to Bluetooth devices</v>
      </c>
      <c r="AB83" t="str" cm="1">
        <f t="array" aca="1" ref="AB83" ca="1">INDEX($D$2:$D$101,RANDBETWEEN(1,ROWS(AB84:AB182)))</f>
        <v>Mosquito Killer Lamp</v>
      </c>
      <c r="AC83" t="str">
        <f t="shared" ca="1" si="46"/>
        <v>Electric trap for mosquitoes</v>
      </c>
      <c r="AD83" t="str" cm="1">
        <f t="array" aca="1" ref="AD83" ca="1">INDEX($D$2:$D$101,RANDBETWEEN(1,ROWS(AD84:AD182)))</f>
        <v>TV Wall Mount</v>
      </c>
      <c r="AE83" t="str">
        <f t="shared" ca="1" si="47"/>
        <v>Mounting bracket for flat TVs</v>
      </c>
      <c r="AF83" t="str" cm="1">
        <f t="array" aca="1" ref="AF83" ca="1">INDEX($D$2:$D$101,RANDBETWEEN(1,ROWS(AF84:AF182)))</f>
        <v>Automatic Hand Sanitizer</v>
      </c>
      <c r="AG83" t="str">
        <f t="shared" ca="1" si="48"/>
        <v>Touchless sanitizer dispenser</v>
      </c>
      <c r="AH83" t="str" cm="1">
        <f t="array" aca="1" ref="AH83" ca="1">INDEX($D$2:$D$101,RANDBETWEEN(1,ROWS(AH84:AH182)))</f>
        <v>Smart Weighing Scale</v>
      </c>
      <c r="AI83" t="str">
        <f t="shared" ca="1" si="49"/>
        <v>Body scale with app sync and health data</v>
      </c>
      <c r="AJ83" t="str" cm="1">
        <f t="array" aca="1" ref="AJ83" ca="1">INDEX($D$2:$D$101,RANDBETWEEN(1,ROWS(AJ84:AJ182)))</f>
        <v>Crepe Maker</v>
      </c>
      <c r="AK83" t="str">
        <f t="shared" ca="1" si="35"/>
        <v>Electric pan for making crepes</v>
      </c>
      <c r="AL83" t="str" cm="1">
        <f t="array" aca="1" ref="AL83" ca="1">INDEX($D$2:$D$101,RANDBETWEEN(1,ROWS(AL84:AL182)))</f>
        <v>Air Humidifier with Light</v>
      </c>
      <c r="AM83" t="str">
        <f t="shared" ca="1" si="50"/>
        <v>Adds moisture and includes night light feature</v>
      </c>
      <c r="AN83" t="str" cm="1">
        <f t="array" aca="1" ref="AN83" ca="1">INDEX($D$2:$D$101,RANDBETWEEN(1,ROWS(AN84:AN182)))</f>
        <v>Instant Coffee Machine</v>
      </c>
      <c r="AO83" t="str">
        <f t="shared" ca="1" si="51"/>
        <v>Brews coffee quickly and easily</v>
      </c>
      <c r="AP83" t="str" cm="1">
        <f t="array" aca="1" ref="AP83" ca="1">INDEX($D$2:$D$101,RANDBETWEEN(1,ROWS(AP84:AP182)))</f>
        <v>UV Toothbrush Sterilizer</v>
      </c>
      <c r="AQ83" t="str">
        <f t="shared" ca="1" si="52"/>
        <v>Disinfects toothbrush using UV light</v>
      </c>
    </row>
    <row r="84" spans="1:43" ht="20.5" customHeight="1" x14ac:dyDescent="0.3">
      <c r="A84" s="22">
        <v>183</v>
      </c>
      <c r="B84" t="s">
        <v>400</v>
      </c>
      <c r="C84" t="s">
        <v>47</v>
      </c>
      <c r="D84" s="1" t="s">
        <v>256</v>
      </c>
      <c r="E84" s="1" t="s">
        <v>257</v>
      </c>
      <c r="F84" t="str" cm="1">
        <f t="array" aca="1" ref="F84" ca="1">INDEX($D$2:$D$101,RANDBETWEEN(1,ROWS(F85:F183)))</f>
        <v>Crepe Maker</v>
      </c>
      <c r="G84" t="str">
        <f t="shared" ca="1" si="0"/>
        <v>Electric pan for making crepes</v>
      </c>
      <c r="H84" t="str" cm="1">
        <f t="array" aca="1" ref="H84" ca="1">INDEX($D$2:$D$101,RANDBETWEEN(1,ROWS(H85:H183)))</f>
        <v>Heated Eyelash Curler</v>
      </c>
      <c r="I84" t="str">
        <f t="shared" ca="1" si="36"/>
        <v>Shapes eyelashes with gentle heat</v>
      </c>
      <c r="J84" t="str" cm="1">
        <f t="array" aca="1" ref="J84" ca="1">INDEX($D$2:$D$101,RANDBETWEEN(1,ROWS(J85:J183)))</f>
        <v>Desktop Air Purifier</v>
      </c>
      <c r="K84" t="str">
        <f t="shared" ca="1" si="37"/>
        <v>Compact purifier for desks</v>
      </c>
      <c r="L84" t="str" cm="1">
        <f t="array" aca="1" ref="L84" ca="1">INDEX($D$2:$D$101,RANDBETWEEN(1,ROWS(L85:L183)))</f>
        <v>Wall-Mounted Fan</v>
      </c>
      <c r="M84" t="str">
        <f t="shared" ca="1" si="38"/>
        <v>Space-saving fan for wall mounting</v>
      </c>
      <c r="N84" t="str" cm="1">
        <f t="array" aca="1" ref="N84" ca="1">INDEX($D$2:$D$101,RANDBETWEEN(1,ROWS(N85:N183)))</f>
        <v>Electric Facial Brush</v>
      </c>
      <c r="O84" t="str">
        <f t="shared" ca="1" si="39"/>
        <v>Cleansing brush for exfoliation</v>
      </c>
      <c r="P84" t="str" cm="1">
        <f t="array" aca="1" ref="P84" ca="1">INDEX($D$2:$D$101,RANDBETWEEN(1,ROWS(P85:P183)))</f>
        <v>Portable Car Heater</v>
      </c>
      <c r="Q84" t="str">
        <f t="shared" ca="1" si="40"/>
        <v>12V heater for car interiors</v>
      </c>
      <c r="R84" t="str" cm="1">
        <f t="array" aca="1" ref="R84" ca="1">INDEX($D$2:$D$101,RANDBETWEEN(1,ROWS(R85:R183)))</f>
        <v>Yogurt Maker</v>
      </c>
      <c r="S84" t="str">
        <f t="shared" ca="1" si="41"/>
        <v>Home appliance for making yogurt</v>
      </c>
      <c r="T84" t="str" cm="1">
        <f t="array" aca="1" ref="T84" ca="1">INDEX($D$2:$D$101,RANDBETWEEN(1,ROWS(T85:T183)))</f>
        <v>Smart Microwave</v>
      </c>
      <c r="U84" t="str">
        <f t="shared" ca="1" si="42"/>
        <v>Microwave with voice or app control</v>
      </c>
      <c r="V84" t="str" cm="1">
        <f t="array" aca="1" ref="V84" ca="1">INDEX($D$2:$D$101,RANDBETWEEN(1,ROWS(V85:V183)))</f>
        <v>DisplayPort Cable</v>
      </c>
      <c r="W84" t="str">
        <f t="shared" ca="1" si="43"/>
        <v>High-resolution monitor cable</v>
      </c>
      <c r="X84" t="str" cm="1">
        <f t="array" aca="1" ref="X84" ca="1">INDEX($D$2:$D$101,RANDBETWEEN(1,ROWS(X85:X183)))</f>
        <v>Electric Nail File Kit</v>
      </c>
      <c r="Y84" t="str">
        <f t="shared" ca="1" si="44"/>
        <v>For manicure and pedicure at home</v>
      </c>
      <c r="Z84" t="str" cm="1">
        <f t="array" aca="1" ref="Z84" ca="1">INDEX($D$2:$D$101,RANDBETWEEN(1,ROWS(Z85:Z183)))</f>
        <v>Portable Power Station</v>
      </c>
      <c r="AA84" t="str">
        <f t="shared" ca="1" si="45"/>
        <v>Rechargeable power supply for outdoors</v>
      </c>
      <c r="AB84" t="str" cm="1">
        <f t="array" aca="1" ref="AB84" ca="1">INDEX($D$2:$D$101,RANDBETWEEN(1,ROWS(AB85:AB183)))</f>
        <v>Gas Leak Detector</v>
      </c>
      <c r="AC84" t="str">
        <f t="shared" ca="1" si="46"/>
        <v>Detects gas leaks in the kitchen</v>
      </c>
      <c r="AD84" t="str" cm="1">
        <f t="array" aca="1" ref="AD84" ca="1">INDEX($D$2:$D$101,RANDBETWEEN(1,ROWS(AD85:AD183)))</f>
        <v>Air Cooler</v>
      </c>
      <c r="AE84" t="str">
        <f t="shared" ca="1" si="47"/>
        <v>Evaporative cooling appliance for rooms</v>
      </c>
      <c r="AF84" t="str" cm="1">
        <f t="array" aca="1" ref="AF84" ca="1">INDEX($D$2:$D$101,RANDBETWEEN(1,ROWS(AF85:AF183)))</f>
        <v>Smart Doorbell</v>
      </c>
      <c r="AG84" t="str">
        <f t="shared" ca="1" si="48"/>
        <v>Wi-Fi-enabled doorbell with camera and intercom</v>
      </c>
      <c r="AH84" t="str" cm="1">
        <f t="array" aca="1" ref="AH84" ca="1">INDEX($D$2:$D$101,RANDBETWEEN(1,ROWS(AH85:AH183)))</f>
        <v>Indoor Thermometer</v>
      </c>
      <c r="AI84" t="str">
        <f t="shared" ca="1" si="49"/>
        <v>Displays indoor temperature</v>
      </c>
      <c r="AJ84" t="str" cm="1">
        <f t="array" aca="1" ref="AJ84" ca="1">INDEX($D$2:$D$101,RANDBETWEEN(1,ROWS(AJ85:AJ183)))</f>
        <v>Indoor Thermometer</v>
      </c>
      <c r="AK84" t="str">
        <f t="shared" ca="1" si="35"/>
        <v>Displays indoor temperature</v>
      </c>
      <c r="AL84" t="str" cm="1">
        <f t="array" aca="1" ref="AL84" ca="1">INDEX($D$2:$D$101,RANDBETWEEN(1,ROWS(AL85:AL183)))</f>
        <v>UV Sterilizer Box</v>
      </c>
      <c r="AM84" t="str">
        <f t="shared" ca="1" si="50"/>
        <v>Disinfects small items using UV light</v>
      </c>
      <c r="AN84" t="str" cm="1">
        <f t="array" aca="1" ref="AN84" ca="1">INDEX($D$2:$D$101,RANDBETWEEN(1,ROWS(AN85:AN183)))</f>
        <v>Ultrasonic Skin Cleaner</v>
      </c>
      <c r="AO84" t="str">
        <f t="shared" ca="1" si="51"/>
        <v>Deep cleans skin using ultrasonic waves</v>
      </c>
      <c r="AP84" t="str" cm="1">
        <f t="array" aca="1" ref="AP84" ca="1">INDEX($D$2:$D$101,RANDBETWEEN(1,ROWS(AP85:AP183)))</f>
        <v>Chimney Hood</v>
      </c>
      <c r="AQ84" t="str">
        <f t="shared" ca="1" si="52"/>
        <v>Kitchen exhaust for smoke and fumes</v>
      </c>
    </row>
    <row r="85" spans="1:43" ht="20.5" customHeight="1" x14ac:dyDescent="0.3">
      <c r="A85" s="22">
        <v>184</v>
      </c>
      <c r="B85" t="s">
        <v>401</v>
      </c>
      <c r="C85" t="s">
        <v>50</v>
      </c>
      <c r="D85" s="1" t="s">
        <v>258</v>
      </c>
      <c r="E85" s="1" t="s">
        <v>259</v>
      </c>
      <c r="F85" t="str" cm="1">
        <f t="array" aca="1" ref="F85" ca="1">INDEX($D$2:$D$101,RANDBETWEEN(1,ROWS(F86:F184)))</f>
        <v>Kitchen Weighing Scale</v>
      </c>
      <c r="G85" t="str">
        <f t="shared" ca="1" si="0"/>
        <v>Measures food portions accurately</v>
      </c>
      <c r="H85" t="str" cm="1">
        <f t="array" aca="1" ref="H85" ca="1">INDEX($D$2:$D$101,RANDBETWEEN(1,ROWS(H86:H184)))</f>
        <v>Smart Toothbrush</v>
      </c>
      <c r="I85" t="str">
        <f t="shared" ca="1" si="36"/>
        <v>Electric brush with Bluetooth tracking</v>
      </c>
      <c r="J85" t="str" cm="1">
        <f t="array" aca="1" ref="J85" ca="1">INDEX($D$2:$D$101,RANDBETWEEN(1,ROWS(J86:J184)))</f>
        <v>Yogurt Maker</v>
      </c>
      <c r="K85" t="str">
        <f t="shared" ca="1" si="37"/>
        <v>Home appliance for making yogurt</v>
      </c>
      <c r="L85" t="str" cm="1">
        <f t="array" aca="1" ref="L85" ca="1">INDEX($D$2:$D$101,RANDBETWEEN(1,ROWS(L86:L184)))</f>
        <v>Personal Neck Fan</v>
      </c>
      <c r="M85" t="str">
        <f t="shared" ca="1" si="38"/>
        <v>Wearable fan for hands-free cooling</v>
      </c>
      <c r="N85" t="str" cm="1">
        <f t="array" aca="1" ref="N85" ca="1">INDEX($D$2:$D$101,RANDBETWEEN(1,ROWS(N86:N184)))</f>
        <v>HDMI Switch</v>
      </c>
      <c r="O85" t="str">
        <f t="shared" ca="1" si="39"/>
        <v>Connects multiple HDMI devices</v>
      </c>
      <c r="P85" t="str" cm="1">
        <f t="array" aca="1" ref="P85" ca="1">INDEX($D$2:$D$101,RANDBETWEEN(1,ROWS(P86:P184)))</f>
        <v>Smart Refrigerator</v>
      </c>
      <c r="Q85" t="str">
        <f t="shared" ca="1" si="40"/>
        <v>Internet-connected fridge with touchscreen and smart controls</v>
      </c>
      <c r="R85" t="str" cm="1">
        <f t="array" aca="1" ref="R85" ca="1">INDEX($D$2:$D$101,RANDBETWEEN(1,ROWS(R86:R184)))</f>
        <v>TV Wall Mount</v>
      </c>
      <c r="S85" t="str">
        <f t="shared" ca="1" si="41"/>
        <v>Mounting bracket for flat TVs</v>
      </c>
      <c r="T85" t="str" cm="1">
        <f t="array" aca="1" ref="T85" ca="1">INDEX($D$2:$D$101,RANDBETWEEN(1,ROWS(T86:T184)))</f>
        <v>HDMI Cable</v>
      </c>
      <c r="U85" t="str">
        <f t="shared" ca="1" si="42"/>
        <v>Transfers audio/video signals</v>
      </c>
      <c r="V85" t="str" cm="1">
        <f t="array" aca="1" ref="V85" ca="1">INDEX($D$2:$D$101,RANDBETWEEN(1,ROWS(V86:V184)))</f>
        <v>Portable Air Conditioner</v>
      </c>
      <c r="W85" t="str">
        <f t="shared" ca="1" si="43"/>
        <v>Compact AC unit for small spaces</v>
      </c>
      <c r="X85" t="str" cm="1">
        <f t="array" aca="1" ref="X85" ca="1">INDEX($D$2:$D$101,RANDBETWEEN(1,ROWS(X86:X184)))</f>
        <v>Air Cooler</v>
      </c>
      <c r="Y85" t="str">
        <f t="shared" ca="1" si="44"/>
        <v>Evaporative cooling appliance for rooms</v>
      </c>
      <c r="Z85" t="str" cm="1">
        <f t="array" aca="1" ref="Z85" ca="1">INDEX($D$2:$D$101,RANDBETWEEN(1,ROWS(Z86:Z184)))</f>
        <v>Facial Steamer</v>
      </c>
      <c r="AA85" t="str">
        <f t="shared" ca="1" si="45"/>
        <v>Opens pores for skincare routine</v>
      </c>
      <c r="AB85" t="str" cm="1">
        <f t="array" aca="1" ref="AB85" ca="1">INDEX($D$2:$D$101,RANDBETWEEN(1,ROWS(AB86:AB184)))</f>
        <v>Pedestal Fan</v>
      </c>
      <c r="AC85" t="str">
        <f t="shared" ca="1" si="46"/>
        <v>Adjustable stand fan for personal cooling</v>
      </c>
      <c r="AD85" t="str" cm="1">
        <f t="array" aca="1" ref="AD85" ca="1">INDEX($D$2:$D$101,RANDBETWEEN(1,ROWS(AD86:AD184)))</f>
        <v>Portable Power Station</v>
      </c>
      <c r="AE85" t="str">
        <f t="shared" ca="1" si="47"/>
        <v>Rechargeable power supply for outdoors</v>
      </c>
      <c r="AF85" t="str" cm="1">
        <f t="array" aca="1" ref="AF85" ca="1">INDEX($D$2:$D$101,RANDBETWEEN(1,ROWS(AF86:AF184)))</f>
        <v>Electric Nail File Kit</v>
      </c>
      <c r="AG85" t="str">
        <f t="shared" ca="1" si="48"/>
        <v>For manicure and pedicure at home</v>
      </c>
      <c r="AH85" t="str" cm="1">
        <f t="array" aca="1" ref="AH85" ca="1">INDEX($D$2:$D$101,RANDBETWEEN(1,ROWS(AH86:AH184)))</f>
        <v>Subwoofer</v>
      </c>
      <c r="AI85" t="str">
        <f t="shared" ca="1" si="49"/>
        <v>Deep bass audio speaker</v>
      </c>
      <c r="AJ85" t="str" cm="1">
        <f t="array" aca="1" ref="AJ85" ca="1">INDEX($D$2:$D$101,RANDBETWEEN(1,ROWS(AJ86:AJ184)))</f>
        <v>Extension Board with USB</v>
      </c>
      <c r="AK85" t="str">
        <f t="shared" ca="1" si="35"/>
        <v>Power strip with USB charging ports</v>
      </c>
      <c r="AL85" t="str" cm="1">
        <f t="array" aca="1" ref="AL85" ca="1">INDEX($D$2:$D$101,RANDBETWEEN(1,ROWS(AL86:AL184)))</f>
        <v>Ceiling Light with Fan</v>
      </c>
      <c r="AM85" t="str">
        <f t="shared" ca="1" si="50"/>
        <v>Dual-function decorative ceiling light with built-in fan</v>
      </c>
      <c r="AN85" t="str" cm="1">
        <f t="array" aca="1" ref="AN85" ca="1">INDEX($D$2:$D$101,RANDBETWEEN(1,ROWS(AN86:AN184)))</f>
        <v>Ultrasonic Skin Cleaner</v>
      </c>
      <c r="AO85" t="str">
        <f t="shared" ca="1" si="51"/>
        <v>Deep cleans skin using ultrasonic waves</v>
      </c>
      <c r="AP85" t="str" cm="1">
        <f t="array" aca="1" ref="AP85" ca="1">INDEX($D$2:$D$101,RANDBETWEEN(1,ROWS(AP86:AP184)))</f>
        <v>TV Wall Mount</v>
      </c>
      <c r="AQ85" t="str">
        <f t="shared" ca="1" si="52"/>
        <v>Mounting bracket for flat TVs</v>
      </c>
    </row>
    <row r="86" spans="1:43" ht="20.5" customHeight="1" x14ac:dyDescent="0.3">
      <c r="A86" s="22">
        <v>185</v>
      </c>
      <c r="B86" t="s">
        <v>402</v>
      </c>
      <c r="C86" t="s">
        <v>53</v>
      </c>
      <c r="D86" s="1" t="s">
        <v>260</v>
      </c>
      <c r="E86" s="1" t="s">
        <v>261</v>
      </c>
      <c r="F86" t="str" cm="1">
        <f t="array" aca="1" ref="F86" ca="1">INDEX($D$2:$D$101,RANDBETWEEN(1,ROWS(F87:F185)))</f>
        <v>Cord Organizer Box</v>
      </c>
      <c r="G86" t="str">
        <f t="shared" ca="1" si="0"/>
        <v>Box to hide and manage power strips</v>
      </c>
      <c r="H86" t="str" cm="1">
        <f t="array" aca="1" ref="H86" ca="1">INDEX($D$2:$D$101,RANDBETWEEN(1,ROWS(H87:H185)))</f>
        <v>Hair Removal Epilator</v>
      </c>
      <c r="I86" t="str">
        <f t="shared" ca="1" si="36"/>
        <v>Plucks hair from root electrically</v>
      </c>
      <c r="J86" t="str" cm="1">
        <f t="array" aca="1" ref="J86" ca="1">INDEX($D$2:$D$101,RANDBETWEEN(1,ROWS(J87:J185)))</f>
        <v>Ceiling Light with Fan</v>
      </c>
      <c r="K86" t="str">
        <f t="shared" ca="1" si="37"/>
        <v>Dual-function decorative ceiling light with built-in fan</v>
      </c>
      <c r="L86" t="str" cm="1">
        <f t="array" aca="1" ref="L86" ca="1">INDEX($D$2:$D$101,RANDBETWEEN(1,ROWS(L87:L185)))</f>
        <v>Emergency Solar Light</v>
      </c>
      <c r="M86" t="str">
        <f t="shared" ca="1" si="38"/>
        <v>Solar-powered backup light</v>
      </c>
      <c r="N86" t="str" cm="1">
        <f t="array" aca="1" ref="N86" ca="1">INDEX($D$2:$D$101,RANDBETWEEN(1,ROWS(N87:N185)))</f>
        <v>Heated Eyelash Curler</v>
      </c>
      <c r="O86" t="str">
        <f t="shared" ca="1" si="39"/>
        <v>Shapes eyelashes with gentle heat</v>
      </c>
      <c r="P86" t="str" cm="1">
        <f t="array" aca="1" ref="P86" ca="1">INDEX($D$2:$D$101,RANDBETWEEN(1,ROWS(P87:P185)))</f>
        <v>Pancake Maker</v>
      </c>
      <c r="Q86" t="str">
        <f t="shared" ca="1" si="40"/>
        <v>Easy tool for making pancakes</v>
      </c>
      <c r="R86" t="str" cm="1">
        <f t="array" aca="1" ref="R86" ca="1">INDEX($D$2:$D$101,RANDBETWEEN(1,ROWS(R87:R185)))</f>
        <v>Car Subwoofer</v>
      </c>
      <c r="S86" t="str">
        <f t="shared" ca="1" si="41"/>
        <v>Audio upgrade for car music systems</v>
      </c>
      <c r="T86" t="str" cm="1">
        <f t="array" aca="1" ref="T86" ca="1">INDEX($D$2:$D$101,RANDBETWEEN(1,ROWS(T87:T185)))</f>
        <v>Laptop Stand</v>
      </c>
      <c r="U86" t="str">
        <f t="shared" ca="1" si="42"/>
        <v>Raises laptop for ergonomic use</v>
      </c>
      <c r="V86" t="str" cm="1">
        <f t="array" aca="1" ref="V86" ca="1">INDEX($D$2:$D$101,RANDBETWEEN(1,ROWS(V87:V185)))</f>
        <v>Automatic Hand Sanitizer</v>
      </c>
      <c r="W86" t="str">
        <f t="shared" ca="1" si="43"/>
        <v>Touchless sanitizer dispenser</v>
      </c>
      <c r="X86" t="str" cm="1">
        <f t="array" aca="1" ref="X86" ca="1">INDEX($D$2:$D$101,RANDBETWEEN(1,ROWS(X87:X185)))</f>
        <v>Electric Facial Brush</v>
      </c>
      <c r="Y86" t="str">
        <f t="shared" ca="1" si="44"/>
        <v>Cleansing brush for exfoliation</v>
      </c>
      <c r="Z86" t="str" cm="1">
        <f t="array" aca="1" ref="Z86" ca="1">INDEX($D$2:$D$101,RANDBETWEEN(1,ROWS(Z87:Z185)))</f>
        <v>Car Subwoofer</v>
      </c>
      <c r="AA86" t="str">
        <f t="shared" ca="1" si="45"/>
        <v>Audio upgrade for car music systems</v>
      </c>
      <c r="AB86" t="str" cm="1">
        <f t="array" aca="1" ref="AB86" ca="1">INDEX($D$2:$D$101,RANDBETWEEN(1,ROWS(AB87:AB185)))</f>
        <v>Hair Removal Epilator</v>
      </c>
      <c r="AC86" t="str">
        <f t="shared" ca="1" si="46"/>
        <v>Plucks hair from root electrically</v>
      </c>
      <c r="AD86" t="str" cm="1">
        <f t="array" aca="1" ref="AD86" ca="1">INDEX($D$2:$D$101,RANDBETWEEN(1,ROWS(AD87:AD185)))</f>
        <v>Hygrometer</v>
      </c>
      <c r="AE86" t="str">
        <f t="shared" ca="1" si="47"/>
        <v>Measures indoor humidity levels</v>
      </c>
      <c r="AF86" t="str" cm="1">
        <f t="array" aca="1" ref="AF86" ca="1">INDEX($D$2:$D$101,RANDBETWEEN(1,ROWS(AF87:AF185)))</f>
        <v>LED Strip with Remote</v>
      </c>
      <c r="AG86" t="str">
        <f t="shared" ca="1" si="48"/>
        <v>Customizable LED lighting with remote control</v>
      </c>
      <c r="AH86" t="str" cm="1">
        <f t="array" aca="1" ref="AH86" ca="1">INDEX($D$2:$D$101,RANDBETWEEN(1,ROWS(AH87:AH185)))</f>
        <v>Smart Microwave</v>
      </c>
      <c r="AI86" t="str">
        <f t="shared" ca="1" si="49"/>
        <v>Microwave with voice or app control</v>
      </c>
      <c r="AJ86" t="str" cm="1">
        <f t="array" aca="1" ref="AJ86" ca="1">INDEX($D$2:$D$101,RANDBETWEEN(1,ROWS(AJ87:AJ185)))</f>
        <v>Soundbar</v>
      </c>
      <c r="AK86" t="str">
        <f t="shared" ca="1" si="35"/>
        <v>Compact speaker bar for TVs</v>
      </c>
      <c r="AL86" t="str" cm="1">
        <f t="array" aca="1" ref="AL86" ca="1">INDEX($D$2:$D$101,RANDBETWEEN(1,ROWS(AL87:AL185)))</f>
        <v>HDMI Cable</v>
      </c>
      <c r="AM86" t="str">
        <f t="shared" ca="1" si="50"/>
        <v>Transfers audio/video signals</v>
      </c>
      <c r="AN86" t="str" cm="1">
        <f t="array" aca="1" ref="AN86" ca="1">INDEX($D$2:$D$101,RANDBETWEEN(1,ROWS(AN87:AN185)))</f>
        <v>Portable Power Station</v>
      </c>
      <c r="AO86" t="str">
        <f t="shared" ca="1" si="51"/>
        <v>Rechargeable power supply for outdoors</v>
      </c>
      <c r="AP86" t="str" cm="1">
        <f t="array" aca="1" ref="AP86" ca="1">INDEX($D$2:$D$101,RANDBETWEEN(1,ROWS(AP87:AP185)))</f>
        <v>Smart Ceiling Light</v>
      </c>
      <c r="AQ86" t="str">
        <f t="shared" ca="1" si="52"/>
        <v>Wi-Fi-enabled, color-changing ceiling light</v>
      </c>
    </row>
    <row r="87" spans="1:43" ht="20.5" customHeight="1" x14ac:dyDescent="0.3">
      <c r="A87" s="22">
        <v>186</v>
      </c>
      <c r="B87" t="s">
        <v>403</v>
      </c>
      <c r="C87" t="s">
        <v>56</v>
      </c>
      <c r="D87" s="1" t="s">
        <v>262</v>
      </c>
      <c r="E87" s="1" t="s">
        <v>263</v>
      </c>
      <c r="F87" t="str" cm="1">
        <f t="array" aca="1" ref="F87" ca="1">INDEX($D$2:$D$101,RANDBETWEEN(1,ROWS(F88:F186)))</f>
        <v>Ultrasonic Skin Cleaner</v>
      </c>
      <c r="G87" t="str">
        <f t="shared" ca="1" si="0"/>
        <v>Deep cleans skin using ultrasonic waves</v>
      </c>
      <c r="H87" t="str" cm="1">
        <f t="array" aca="1" ref="H87" ca="1">INDEX($D$2:$D$101,RANDBETWEEN(1,ROWS(H88:H186)))</f>
        <v>TV Wall Mount</v>
      </c>
      <c r="I87" t="str">
        <f t="shared" ca="1" si="36"/>
        <v>Mounting bracket for flat TVs</v>
      </c>
      <c r="J87" t="str" cm="1">
        <f t="array" aca="1" ref="J87" ca="1">INDEX($D$2:$D$101,RANDBETWEEN(1,ROWS(J88:J186)))</f>
        <v>Kitchen Weighing Scale</v>
      </c>
      <c r="K87" t="str">
        <f t="shared" ca="1" si="37"/>
        <v>Measures food portions accurately</v>
      </c>
      <c r="L87" t="str" cm="1">
        <f t="array" aca="1" ref="L87" ca="1">INDEX($D$2:$D$101,RANDBETWEEN(1,ROWS(L88:L186)))</f>
        <v>Emergency Solar Light</v>
      </c>
      <c r="M87" t="str">
        <f t="shared" ca="1" si="38"/>
        <v>Solar-powered backup light</v>
      </c>
      <c r="N87" t="str" cm="1">
        <f t="array" aca="1" ref="N87" ca="1">INDEX($D$2:$D$101,RANDBETWEEN(1,ROWS(N88:N186)))</f>
        <v>Ultrasonic Humidifier</v>
      </c>
      <c r="O87" t="str">
        <f t="shared" ca="1" si="39"/>
        <v>Mist-based humidifier using ultrasonic vibrations</v>
      </c>
      <c r="P87" t="str" cm="1">
        <f t="array" aca="1" ref="P87" ca="1">INDEX($D$2:$D$101,RANDBETWEEN(1,ROWS(P88:P186)))</f>
        <v>Milk Frother</v>
      </c>
      <c r="Q87" t="str">
        <f t="shared" ca="1" si="40"/>
        <v>Froths milk for lattes and cappuccinos</v>
      </c>
      <c r="R87" t="str" cm="1">
        <f t="array" aca="1" ref="R87" ca="1">INDEX($D$2:$D$101,RANDBETWEEN(1,ROWS(R88:R186)))</f>
        <v>Electric Egg Beater</v>
      </c>
      <c r="S87" t="str">
        <f t="shared" ca="1" si="41"/>
        <v>Handheld electric whisk for baking</v>
      </c>
      <c r="T87" t="str" cm="1">
        <f t="array" aca="1" ref="T87" ca="1">INDEX($D$2:$D$101,RANDBETWEEN(1,ROWS(T88:T186)))</f>
        <v>Air Cooler</v>
      </c>
      <c r="U87" t="str">
        <f t="shared" ca="1" si="42"/>
        <v>Evaporative cooling appliance for rooms</v>
      </c>
      <c r="V87" t="str" cm="1">
        <f t="array" aca="1" ref="V87" ca="1">INDEX($D$2:$D$101,RANDBETWEEN(1,ROWS(V88:V186)))</f>
        <v>Ultrasonic Humidifier</v>
      </c>
      <c r="W87" t="str">
        <f t="shared" ca="1" si="43"/>
        <v>Mist-based humidifier using ultrasonic vibrations</v>
      </c>
      <c r="X87" t="str" cm="1">
        <f t="array" aca="1" ref="X87" ca="1">INDEX($D$2:$D$101,RANDBETWEEN(1,ROWS(X88:X186)))</f>
        <v>Smart Weighing Scale</v>
      </c>
      <c r="Y87" t="str">
        <f t="shared" ca="1" si="44"/>
        <v>Body scale with app sync and health data</v>
      </c>
      <c r="Z87" t="str" cm="1">
        <f t="array" aca="1" ref="Z87" ca="1">INDEX($D$2:$D$101,RANDBETWEEN(1,ROWS(Z88:Z186)))</f>
        <v>Personal Neck Fan</v>
      </c>
      <c r="AA87" t="str">
        <f t="shared" ca="1" si="45"/>
        <v>Wearable fan for hands-free cooling</v>
      </c>
      <c r="AB87" t="str" cm="1">
        <f t="array" aca="1" ref="AB87" ca="1">INDEX($D$2:$D$101,RANDBETWEEN(1,ROWS(AB88:AB186)))</f>
        <v>Mosquito Killer Lamp</v>
      </c>
      <c r="AC87" t="str">
        <f t="shared" ca="1" si="46"/>
        <v>Electric trap for mosquitoes</v>
      </c>
      <c r="AD87" t="str" cm="1">
        <f t="array" aca="1" ref="AD87" ca="1">INDEX($D$2:$D$101,RANDBETWEEN(1,ROWS(AD88:AD186)))</f>
        <v>Electric Egg Beater</v>
      </c>
      <c r="AE87" t="str">
        <f t="shared" ca="1" si="47"/>
        <v>Handheld electric whisk for baking</v>
      </c>
      <c r="AF87" t="str" cm="1">
        <f t="array" aca="1" ref="AF87" ca="1">INDEX($D$2:$D$101,RANDBETWEEN(1,ROWS(AF88:AF186)))</f>
        <v>Smart Smoke Detector</v>
      </c>
      <c r="AG87" t="str">
        <f t="shared" ca="1" si="48"/>
        <v>Smoke alarm with smart alerts</v>
      </c>
      <c r="AH87" t="str" cm="1">
        <f t="array" aca="1" ref="AH87" ca="1">INDEX($D$2:$D$101,RANDBETWEEN(1,ROWS(AH88:AH186)))</f>
        <v>Smart Microwave</v>
      </c>
      <c r="AI87" t="str">
        <f t="shared" ca="1" si="49"/>
        <v>Microwave with voice or app control</v>
      </c>
      <c r="AJ87" t="str" cm="1">
        <f t="array" aca="1" ref="AJ87" ca="1">INDEX($D$2:$D$101,RANDBETWEEN(1,ROWS(AJ88:AJ186)))</f>
        <v>UV Toothbrush Sterilizer</v>
      </c>
      <c r="AK87" t="str">
        <f t="shared" ca="1" si="35"/>
        <v>Disinfects toothbrush using UV light</v>
      </c>
      <c r="AL87" t="str" cm="1">
        <f t="array" aca="1" ref="AL87" ca="1">INDEX($D$2:$D$101,RANDBETWEEN(1,ROWS(AL88:AL186)))</f>
        <v>Smart Doorbell</v>
      </c>
      <c r="AM87" t="str">
        <f t="shared" ca="1" si="50"/>
        <v>Wi-Fi-enabled doorbell with camera and intercom</v>
      </c>
      <c r="AN87" t="str" cm="1">
        <f t="array" aca="1" ref="AN87" ca="1">INDEX($D$2:$D$101,RANDBETWEEN(1,ROWS(AN88:AN186)))</f>
        <v>UV Sterilizer Box</v>
      </c>
      <c r="AO87" t="str">
        <f t="shared" ca="1" si="51"/>
        <v>Disinfects small items using UV light</v>
      </c>
      <c r="AP87" t="str" cm="1">
        <f t="array" aca="1" ref="AP87" ca="1">INDEX($D$2:$D$101,RANDBETWEEN(1,ROWS(AP88:AP186)))</f>
        <v>Smart Toothbrush</v>
      </c>
      <c r="AQ87" t="str">
        <f t="shared" ca="1" si="52"/>
        <v>Electric brush with Bluetooth tracking</v>
      </c>
    </row>
    <row r="88" spans="1:43" ht="20.5" customHeight="1" x14ac:dyDescent="0.3">
      <c r="A88" s="22">
        <v>187</v>
      </c>
      <c r="B88" t="s">
        <v>404</v>
      </c>
      <c r="C88" t="s">
        <v>59</v>
      </c>
      <c r="D88" s="1" t="s">
        <v>264</v>
      </c>
      <c r="E88" s="1" t="s">
        <v>265</v>
      </c>
      <c r="F88" t="str" cm="1">
        <f t="array" aca="1" ref="F88" ca="1">INDEX($D$2:$D$101,RANDBETWEEN(1,ROWS(F89:F187)))</f>
        <v>Digital Multimeter</v>
      </c>
      <c r="G88" t="str">
        <f t="shared" ca="1" si="0"/>
        <v>Measures voltage, current, resistance</v>
      </c>
      <c r="H88" t="str" cm="1">
        <f t="array" aca="1" ref="H88" ca="1">INDEX($D$2:$D$101,RANDBETWEEN(1,ROWS(H89:H187)))</f>
        <v>Air Humidifier with Light</v>
      </c>
      <c r="I88" t="str">
        <f t="shared" ca="1" si="36"/>
        <v>Adds moisture and includes night light feature</v>
      </c>
      <c r="J88" t="str" cm="1">
        <f t="array" aca="1" ref="J88" ca="1">INDEX($D$2:$D$101,RANDBETWEEN(1,ROWS(J89:J187)))</f>
        <v>Roti Maker</v>
      </c>
      <c r="K88" t="str">
        <f t="shared" ca="1" si="37"/>
        <v>Flattens and cooks Indian flatbreads</v>
      </c>
      <c r="L88" t="str" cm="1">
        <f t="array" aca="1" ref="L88" ca="1">INDEX($D$2:$D$101,RANDBETWEEN(1,ROWS(L89:L187)))</f>
        <v>Smart Mosquito Repeller</v>
      </c>
      <c r="M88" t="str">
        <f t="shared" ca="1" si="38"/>
        <v>USB-powered electronic insect repeller</v>
      </c>
      <c r="N88" t="str" cm="1">
        <f t="array" aca="1" ref="N88" ca="1">INDEX($D$2:$D$101,RANDBETWEEN(1,ROWS(N89:N187)))</f>
        <v>Tower Fan</v>
      </c>
      <c r="O88" t="str">
        <f t="shared" ca="1" si="39"/>
        <v>Space-saving vertical fan</v>
      </c>
      <c r="P88" t="str" cm="1">
        <f t="array" aca="1" ref="P88" ca="1">INDEX($D$2:$D$101,RANDBETWEEN(1,ROWS(P89:P187)))</f>
        <v>Room Heater</v>
      </c>
      <c r="Q88" t="str">
        <f t="shared" ca="1" si="40"/>
        <v>Electric heater for indoor heating</v>
      </c>
      <c r="R88" t="str" cm="1">
        <f t="array" aca="1" ref="R88" ca="1">INDEX($D$2:$D$101,RANDBETWEEN(1,ROWS(R89:R187)))</f>
        <v>Bluetooth Transmitter</v>
      </c>
      <c r="S88" t="str">
        <f t="shared" ca="1" si="41"/>
        <v>Sends audio to Bluetooth devices</v>
      </c>
      <c r="T88" t="str" cm="1">
        <f t="array" aca="1" ref="T88" ca="1">INDEX($D$2:$D$101,RANDBETWEEN(1,ROWS(T89:T187)))</f>
        <v>Wall-Mounted Fan</v>
      </c>
      <c r="U88" t="str">
        <f t="shared" ca="1" si="42"/>
        <v>Space-saving fan for wall mounting</v>
      </c>
      <c r="V88" t="str" cm="1">
        <f t="array" aca="1" ref="V88" ca="1">INDEX($D$2:$D$101,RANDBETWEEN(1,ROWS(V89:V187)))</f>
        <v>Waffle Maker</v>
      </c>
      <c r="W88" t="str">
        <f t="shared" ca="1" si="43"/>
        <v>Makes waffles at home</v>
      </c>
      <c r="X88" t="str" cm="1">
        <f t="array" aca="1" ref="X88" ca="1">INDEX($D$2:$D$101,RANDBETWEEN(1,ROWS(X89:X187)))</f>
        <v>Smart Refrigerator</v>
      </c>
      <c r="Y88" t="str">
        <f t="shared" ca="1" si="44"/>
        <v>Internet-connected fridge with touchscreen and smart controls</v>
      </c>
      <c r="Z88" t="str" cm="1">
        <f t="array" aca="1" ref="Z88" ca="1">INDEX($D$2:$D$101,RANDBETWEEN(1,ROWS(Z89:Z187)))</f>
        <v>Smart Ceiling Light</v>
      </c>
      <c r="AA88" t="str">
        <f t="shared" ca="1" si="45"/>
        <v>Wi-Fi-enabled, color-changing ceiling light</v>
      </c>
      <c r="AB88" t="str" cm="1">
        <f t="array" aca="1" ref="AB88" ca="1">INDEX($D$2:$D$101,RANDBETWEEN(1,ROWS(AB89:AB187)))</f>
        <v>Subwoofer</v>
      </c>
      <c r="AC88" t="str">
        <f t="shared" ca="1" si="46"/>
        <v>Deep bass audio speaker</v>
      </c>
      <c r="AD88" t="str" cm="1">
        <f t="array" aca="1" ref="AD88" ca="1">INDEX($D$2:$D$101,RANDBETWEEN(1,ROWS(AD89:AD187)))</f>
        <v>Water Dispenser</v>
      </c>
      <c r="AE88" t="str">
        <f t="shared" ca="1" si="47"/>
        <v>Dispenses hot and cold water</v>
      </c>
      <c r="AF88" t="str" cm="1">
        <f t="array" aca="1" ref="AF88" ca="1">INDEX($D$2:$D$101,RANDBETWEEN(1,ROWS(AF89:AF187)))</f>
        <v>HDMI Switch</v>
      </c>
      <c r="AG88" t="str">
        <f t="shared" ca="1" si="48"/>
        <v>Connects multiple HDMI devices</v>
      </c>
      <c r="AH88" t="str" cm="1">
        <f t="array" aca="1" ref="AH88" ca="1">INDEX($D$2:$D$101,RANDBETWEEN(1,ROWS(AH89:AH187)))</f>
        <v>Crepe Maker</v>
      </c>
      <c r="AI88" t="str">
        <f t="shared" ca="1" si="49"/>
        <v>Electric pan for making crepes</v>
      </c>
      <c r="AJ88" t="str" cm="1">
        <f t="array" aca="1" ref="AJ88" ca="1">INDEX($D$2:$D$101,RANDBETWEEN(1,ROWS(AJ89:AJ187)))</f>
        <v>Smart Refrigerator</v>
      </c>
      <c r="AK88" t="str">
        <f t="shared" ca="1" si="35"/>
        <v>Internet-connected fridge with touchscreen and smart controls</v>
      </c>
      <c r="AL88" t="str" cm="1">
        <f t="array" aca="1" ref="AL88" ca="1">INDEX($D$2:$D$101,RANDBETWEEN(1,ROWS(AL89:AL187)))</f>
        <v>Tower Fan</v>
      </c>
      <c r="AM88" t="str">
        <f t="shared" ca="1" si="50"/>
        <v>Space-saving vertical fan</v>
      </c>
      <c r="AN88" t="str" cm="1">
        <f t="array" aca="1" ref="AN88" ca="1">INDEX($D$2:$D$101,RANDBETWEEN(1,ROWS(AN89:AN187)))</f>
        <v>Wall-Mounted Fan</v>
      </c>
      <c r="AO88" t="str">
        <f t="shared" ca="1" si="51"/>
        <v>Space-saving fan for wall mounting</v>
      </c>
      <c r="AP88" t="str" cm="1">
        <f t="array" aca="1" ref="AP88" ca="1">INDEX($D$2:$D$101,RANDBETWEEN(1,ROWS(AP89:AP187)))</f>
        <v>Pancake Maker</v>
      </c>
      <c r="AQ88" t="str">
        <f t="shared" ca="1" si="52"/>
        <v>Easy tool for making pancakes</v>
      </c>
    </row>
    <row r="89" spans="1:43" ht="20.5" customHeight="1" x14ac:dyDescent="0.3">
      <c r="A89" s="22">
        <v>188</v>
      </c>
      <c r="B89" t="s">
        <v>405</v>
      </c>
      <c r="C89" t="s">
        <v>62</v>
      </c>
      <c r="D89" s="1" t="s">
        <v>266</v>
      </c>
      <c r="E89" s="1" t="s">
        <v>267</v>
      </c>
      <c r="F89" t="str" cm="1">
        <f t="array" aca="1" ref="F89" ca="1">INDEX($D$2:$D$101,RANDBETWEEN(1,ROWS(F90:F188)))</f>
        <v>Smart Weighing Scale</v>
      </c>
      <c r="G89" t="str">
        <f t="shared" ca="1" si="0"/>
        <v>Body scale with app sync and health data</v>
      </c>
      <c r="H89" t="str" cm="1">
        <f t="array" aca="1" ref="H89" ca="1">INDEX($D$2:$D$101,RANDBETWEEN(1,ROWS(H90:H188)))</f>
        <v>Smart Refrigerator</v>
      </c>
      <c r="I89" t="str">
        <f t="shared" ca="1" si="36"/>
        <v>Internet-connected fridge with touchscreen and smart controls</v>
      </c>
      <c r="J89" t="str" cm="1">
        <f t="array" aca="1" ref="J89" ca="1">INDEX($D$2:$D$101,RANDBETWEEN(1,ROWS(J90:J188)))</f>
        <v>Smart IR Remote</v>
      </c>
      <c r="K89" t="str">
        <f t="shared" ca="1" si="37"/>
        <v>Controls appliances via smartphone</v>
      </c>
      <c r="L89" t="str" cm="1">
        <f t="array" aca="1" ref="L89" ca="1">INDEX($D$2:$D$101,RANDBETWEEN(1,ROWS(L90:L188)))</f>
        <v>Desktop Air Purifier</v>
      </c>
      <c r="M89" t="str">
        <f t="shared" ca="1" si="38"/>
        <v>Compact purifier for desks</v>
      </c>
      <c r="N89" t="str" cm="1">
        <f t="array" aca="1" ref="N89" ca="1">INDEX($D$2:$D$101,RANDBETWEEN(1,ROWS(N90:N188)))</f>
        <v>Foldable Hair Dryer</v>
      </c>
      <c r="O89" t="str">
        <f t="shared" ca="1" si="39"/>
        <v>Compact, travel-friendly hair dryer</v>
      </c>
      <c r="P89" t="str" cm="1">
        <f t="array" aca="1" ref="P89" ca="1">INDEX($D$2:$D$101,RANDBETWEEN(1,ROWS(P90:P188)))</f>
        <v>Smart Energy Monitor</v>
      </c>
      <c r="Q89" t="str">
        <f t="shared" ca="1" si="40"/>
        <v>Tracks power consumption in real-time</v>
      </c>
      <c r="R89" t="str" cm="1">
        <f t="array" aca="1" ref="R89" ca="1">INDEX($D$2:$D$101,RANDBETWEEN(1,ROWS(R90:R188)))</f>
        <v>Waffle Maker</v>
      </c>
      <c r="S89" t="str">
        <f t="shared" ca="1" si="41"/>
        <v>Makes waffles at home</v>
      </c>
      <c r="T89" t="str" cm="1">
        <f t="array" aca="1" ref="T89" ca="1">INDEX($D$2:$D$101,RANDBETWEEN(1,ROWS(T90:T188)))</f>
        <v>Kitchen Timer</v>
      </c>
      <c r="U89" t="str">
        <f t="shared" ca="1" si="42"/>
        <v>Digital countdown timer for cooking</v>
      </c>
      <c r="V89" t="str" cm="1">
        <f t="array" aca="1" ref="V89" ca="1">INDEX($D$2:$D$101,RANDBETWEEN(1,ROWS(V90:V188)))</f>
        <v>Indoor Thermometer</v>
      </c>
      <c r="W89" t="str">
        <f t="shared" ca="1" si="43"/>
        <v>Displays indoor temperature</v>
      </c>
      <c r="X89" t="str" cm="1">
        <f t="array" aca="1" ref="X89" ca="1">INDEX($D$2:$D$101,RANDBETWEEN(1,ROWS(X90:X188)))</f>
        <v>Portable Car Heater</v>
      </c>
      <c r="Y89" t="str">
        <f t="shared" ca="1" si="44"/>
        <v>12V heater for car interiors</v>
      </c>
      <c r="Z89" t="str" cm="1">
        <f t="array" aca="1" ref="Z89" ca="1">INDEX($D$2:$D$101,RANDBETWEEN(1,ROWS(Z90:Z188)))</f>
        <v>Smart Doorbell</v>
      </c>
      <c r="AA89" t="str">
        <f t="shared" ca="1" si="45"/>
        <v>Wi-Fi-enabled doorbell with camera and intercom</v>
      </c>
      <c r="AB89" t="str" cm="1">
        <f t="array" aca="1" ref="AB89" ca="1">INDEX($D$2:$D$101,RANDBETWEEN(1,ROWS(AB90:AB188)))</f>
        <v>Portable Car Heater</v>
      </c>
      <c r="AC89" t="str">
        <f t="shared" ca="1" si="46"/>
        <v>12V heater for car interiors</v>
      </c>
      <c r="AD89" t="str" cm="1">
        <f t="array" aca="1" ref="AD89" ca="1">INDEX($D$2:$D$101,RANDBETWEEN(1,ROWS(AD90:AD188)))</f>
        <v>Waffle Maker</v>
      </c>
      <c r="AE89" t="str">
        <f t="shared" ca="1" si="47"/>
        <v>Makes waffles at home</v>
      </c>
      <c r="AF89" t="str" cm="1">
        <f t="array" aca="1" ref="AF89" ca="1">INDEX($D$2:$D$101,RANDBETWEEN(1,ROWS(AF90:AF188)))</f>
        <v>Waffle Maker</v>
      </c>
      <c r="AG89" t="str">
        <f t="shared" ca="1" si="48"/>
        <v>Makes waffles at home</v>
      </c>
      <c r="AH89" t="str" cm="1">
        <f t="array" aca="1" ref="AH89" ca="1">INDEX($D$2:$D$101,RANDBETWEEN(1,ROWS(AH90:AH188)))</f>
        <v>Electric Nail File Kit</v>
      </c>
      <c r="AI89" t="str">
        <f t="shared" ca="1" si="49"/>
        <v>For manicure and pedicure at home</v>
      </c>
      <c r="AJ89" t="str" cm="1">
        <f t="array" aca="1" ref="AJ89" ca="1">INDEX($D$2:$D$101,RANDBETWEEN(1,ROWS(AJ90:AJ188)))</f>
        <v>Portable Car Heater</v>
      </c>
      <c r="AK89" t="str">
        <f t="shared" ca="1" si="35"/>
        <v>12V heater for car interiors</v>
      </c>
      <c r="AL89" t="str" cm="1">
        <f t="array" aca="1" ref="AL89" ca="1">INDEX($D$2:$D$101,RANDBETWEEN(1,ROWS(AL90:AL188)))</f>
        <v>Electric Egg Beater</v>
      </c>
      <c r="AM89" t="str">
        <f t="shared" ca="1" si="50"/>
        <v>Handheld electric whisk for baking</v>
      </c>
      <c r="AN89" t="str" cm="1">
        <f t="array" aca="1" ref="AN89" ca="1">INDEX($D$2:$D$101,RANDBETWEEN(1,ROWS(AN90:AN188)))</f>
        <v>Smart Microwave</v>
      </c>
      <c r="AO89" t="str">
        <f t="shared" ca="1" si="51"/>
        <v>Microwave with voice or app control</v>
      </c>
      <c r="AP89" t="str" cm="1">
        <f t="array" aca="1" ref="AP89" ca="1">INDEX($D$2:$D$101,RANDBETWEEN(1,ROWS(AP90:AP188)))</f>
        <v>Smart Air Conditioner</v>
      </c>
      <c r="AQ89" t="str">
        <f t="shared" ca="1" si="52"/>
        <v>AC unit controllable via smartphone or voice</v>
      </c>
    </row>
    <row r="90" spans="1:43" ht="20.5" customHeight="1" x14ac:dyDescent="0.3">
      <c r="A90" s="22">
        <v>189</v>
      </c>
      <c r="B90" t="s">
        <v>406</v>
      </c>
      <c r="C90" t="s">
        <v>65</v>
      </c>
      <c r="D90" s="1" t="s">
        <v>268</v>
      </c>
      <c r="E90" s="1" t="s">
        <v>269</v>
      </c>
      <c r="F90" t="str" cm="1">
        <f t="array" aca="1" ref="F90" ca="1">INDEX($D$2:$D$101,RANDBETWEEN(1,ROWS(F91:F189)))</f>
        <v>Foldable Hair Dryer</v>
      </c>
      <c r="G90" t="str">
        <f t="shared" ca="1" si="0"/>
        <v>Compact, travel-friendly hair dryer</v>
      </c>
      <c r="H90" t="str" cm="1">
        <f t="array" aca="1" ref="H90" ca="1">INDEX($D$2:$D$101,RANDBETWEEN(1,ROWS(H91:H189)))</f>
        <v>Car Subwoofer</v>
      </c>
      <c r="I90" t="str">
        <f t="shared" ca="1" si="36"/>
        <v>Audio upgrade for car music systems</v>
      </c>
      <c r="J90" t="str" cm="1">
        <f t="array" aca="1" ref="J90" ca="1">INDEX($D$2:$D$101,RANDBETWEEN(1,ROWS(J91:J189)))</f>
        <v>Mesh Wi-Fi System</v>
      </c>
      <c r="K90" t="str">
        <f t="shared" ca="1" si="37"/>
        <v>Whole-home wireless coverage</v>
      </c>
      <c r="L90" t="str" cm="1">
        <f t="array" aca="1" ref="L90" ca="1">INDEX($D$2:$D$101,RANDBETWEEN(1,ROWS(L91:L189)))</f>
        <v>HDMI Switch</v>
      </c>
      <c r="M90" t="str">
        <f t="shared" ca="1" si="38"/>
        <v>Connects multiple HDMI devices</v>
      </c>
      <c r="N90" t="str" cm="1">
        <f t="array" aca="1" ref="N90" ca="1">INDEX($D$2:$D$101,RANDBETWEEN(1,ROWS(N91:N189)))</f>
        <v>Smart Switch</v>
      </c>
      <c r="O90" t="str">
        <f t="shared" ca="1" si="39"/>
        <v>Wi-Fi-enabled wall switch for remote operation</v>
      </c>
      <c r="P90" t="str" cm="1">
        <f t="array" aca="1" ref="P90" ca="1">INDEX($D$2:$D$101,RANDBETWEEN(1,ROWS(P91:P189)))</f>
        <v>Heated Eyelash Curler</v>
      </c>
      <c r="Q90" t="str">
        <f t="shared" ca="1" si="40"/>
        <v>Shapes eyelashes with gentle heat</v>
      </c>
      <c r="R90" t="str" cm="1">
        <f t="array" aca="1" ref="R90" ca="1">INDEX($D$2:$D$101,RANDBETWEEN(1,ROWS(R91:R189)))</f>
        <v>HDMI Switch</v>
      </c>
      <c r="S90" t="str">
        <f t="shared" ca="1" si="41"/>
        <v>Connects multiple HDMI devices</v>
      </c>
      <c r="T90" t="str" cm="1">
        <f t="array" aca="1" ref="T90" ca="1">INDEX($D$2:$D$101,RANDBETWEEN(1,ROWS(T91:T189)))</f>
        <v>Egg Boiler</v>
      </c>
      <c r="U90" t="str">
        <f t="shared" ca="1" si="42"/>
        <v>Automatically boils eggs</v>
      </c>
      <c r="V90" t="str" cm="1">
        <f t="array" aca="1" ref="V90" ca="1">INDEX($D$2:$D$101,RANDBETWEEN(1,ROWS(V91:V189)))</f>
        <v>Wi-Fi Range Extender</v>
      </c>
      <c r="W90" t="str">
        <f t="shared" ca="1" si="43"/>
        <v>Boosts home Wi-Fi signal</v>
      </c>
      <c r="X90" t="str" cm="1">
        <f t="array" aca="1" ref="X90" ca="1">INDEX($D$2:$D$101,RANDBETWEEN(1,ROWS(X91:X189)))</f>
        <v>Pancake Maker</v>
      </c>
      <c r="Y90" t="str">
        <f t="shared" ca="1" si="44"/>
        <v>Easy tool for making pancakes</v>
      </c>
      <c r="Z90" t="str" cm="1">
        <f t="array" aca="1" ref="Z90" ca="1">INDEX($D$2:$D$101,RANDBETWEEN(1,ROWS(Z91:Z189)))</f>
        <v>Desktop Air Purifier</v>
      </c>
      <c r="AA90" t="str">
        <f t="shared" ca="1" si="45"/>
        <v>Compact purifier for desks</v>
      </c>
      <c r="AB90" t="str" cm="1">
        <f t="array" aca="1" ref="AB90" ca="1">INDEX($D$2:$D$101,RANDBETWEEN(1,ROWS(AB91:AB189)))</f>
        <v>Ceiling Light with Fan</v>
      </c>
      <c r="AC90" t="str">
        <f t="shared" ca="1" si="46"/>
        <v>Dual-function decorative ceiling light with built-in fan</v>
      </c>
      <c r="AD90" t="str" cm="1">
        <f t="array" aca="1" ref="AD90" ca="1">INDEX($D$2:$D$101,RANDBETWEEN(1,ROWS(AD91:AD189)))</f>
        <v>Hygrometer</v>
      </c>
      <c r="AE90" t="str">
        <f t="shared" ca="1" si="47"/>
        <v>Measures indoor humidity levels</v>
      </c>
      <c r="AF90" t="str" cm="1">
        <f t="array" aca="1" ref="AF90" ca="1">INDEX($D$2:$D$101,RANDBETWEEN(1,ROWS(AF91:AF189)))</f>
        <v>Tower Fan</v>
      </c>
      <c r="AG90" t="str">
        <f t="shared" ca="1" si="48"/>
        <v>Space-saving vertical fan</v>
      </c>
      <c r="AH90" t="str" cm="1">
        <f t="array" aca="1" ref="AH90" ca="1">INDEX($D$2:$D$101,RANDBETWEEN(1,ROWS(AH91:AH189)))</f>
        <v>Electric Water Boiler</v>
      </c>
      <c r="AI90" t="str">
        <f t="shared" ca="1" si="49"/>
        <v>Quickly boils large volumes of water</v>
      </c>
      <c r="AJ90" t="str" cm="1">
        <f t="array" aca="1" ref="AJ90" ca="1">INDEX($D$2:$D$101,RANDBETWEEN(1,ROWS(AJ91:AJ189)))</f>
        <v>Smart Smoke Detector</v>
      </c>
      <c r="AK90" t="str">
        <f t="shared" ca="1" si="35"/>
        <v>Smoke alarm with smart alerts</v>
      </c>
      <c r="AL90" t="str" cm="1">
        <f t="array" aca="1" ref="AL90" ca="1">INDEX($D$2:$D$101,RANDBETWEEN(1,ROWS(AL91:AL189)))</f>
        <v>Electric Nail File Kit</v>
      </c>
      <c r="AM90" t="str">
        <f t="shared" ca="1" si="50"/>
        <v>For manicure and pedicure at home</v>
      </c>
      <c r="AN90" t="str" cm="1">
        <f t="array" aca="1" ref="AN90" ca="1">INDEX($D$2:$D$101,RANDBETWEEN(1,ROWS(AN91:AN189)))</f>
        <v>Soundbar</v>
      </c>
      <c r="AO90" t="str">
        <f t="shared" ca="1" si="51"/>
        <v>Compact speaker bar for TVs</v>
      </c>
      <c r="AP90" t="str" cm="1">
        <f t="array" aca="1" ref="AP90" ca="1">INDEX($D$2:$D$101,RANDBETWEEN(1,ROWS(AP91:AP189)))</f>
        <v>Portable Power Station</v>
      </c>
      <c r="AQ90" t="str">
        <f t="shared" ca="1" si="52"/>
        <v>Rechargeable power supply for outdoors</v>
      </c>
    </row>
    <row r="91" spans="1:43" ht="20.5" customHeight="1" x14ac:dyDescent="0.3">
      <c r="A91" s="22">
        <v>190</v>
      </c>
      <c r="B91" t="s">
        <v>407</v>
      </c>
      <c r="C91" t="s">
        <v>68</v>
      </c>
      <c r="D91" s="1" t="s">
        <v>270</v>
      </c>
      <c r="E91" s="1" t="s">
        <v>271</v>
      </c>
      <c r="F91" t="str" cm="1">
        <f t="array" aca="1" ref="F91" ca="1">INDEX($D$2:$D$101,RANDBETWEEN(1,ROWS(F92:F190)))</f>
        <v>Soundbar</v>
      </c>
      <c r="G91" t="str">
        <f t="shared" ca="1" si="0"/>
        <v>Compact speaker bar for TVs</v>
      </c>
      <c r="H91" t="str" cm="1">
        <f t="array" aca="1" ref="H91" ca="1">INDEX($D$2:$D$101,RANDBETWEEN(1,ROWS(H92:H190)))</f>
        <v>Smart Car Charger</v>
      </c>
      <c r="I91" t="str">
        <f t="shared" ca="1" si="36"/>
        <v>USB charger with smart protection features</v>
      </c>
      <c r="J91" t="str" cm="1">
        <f t="array" aca="1" ref="J91" ca="1">INDEX($D$2:$D$101,RANDBETWEEN(1,ROWS(J92:J190)))</f>
        <v>Smart Washing Machine</v>
      </c>
      <c r="K91" t="str">
        <f t="shared" ca="1" si="37"/>
        <v>Wi-Fi-enabled washer with remote control options</v>
      </c>
      <c r="L91" t="str" cm="1">
        <f t="array" aca="1" ref="L91" ca="1">INDEX($D$2:$D$101,RANDBETWEEN(1,ROWS(L92:L190)))</f>
        <v>Instant Coffee Machine</v>
      </c>
      <c r="M91" t="str">
        <f t="shared" ca="1" si="38"/>
        <v>Brews coffee quickly and easily</v>
      </c>
      <c r="N91" t="str" cm="1">
        <f t="array" aca="1" ref="N91" ca="1">INDEX($D$2:$D$101,RANDBETWEEN(1,ROWS(N92:N190)))</f>
        <v>Roti Maker</v>
      </c>
      <c r="O91" t="str">
        <f t="shared" ca="1" si="39"/>
        <v>Flattens and cooks Indian flatbreads</v>
      </c>
      <c r="P91" t="str" cm="1">
        <f t="array" aca="1" ref="P91" ca="1">INDEX($D$2:$D$101,RANDBETWEEN(1,ROWS(P92:P190)))</f>
        <v>UV Toothbrush Sterilizer</v>
      </c>
      <c r="Q91" t="str">
        <f t="shared" ca="1" si="40"/>
        <v>Disinfects toothbrush using UV light</v>
      </c>
      <c r="R91" t="str" cm="1">
        <f t="array" aca="1" ref="R91" ca="1">INDEX($D$2:$D$101,RANDBETWEEN(1,ROWS(R92:R190)))</f>
        <v>Mosquito Killer Lamp</v>
      </c>
      <c r="S91" t="str">
        <f t="shared" ca="1" si="41"/>
        <v>Electric trap for mosquitoes</v>
      </c>
      <c r="T91" t="str" cm="1">
        <f t="array" aca="1" ref="T91" ca="1">INDEX($D$2:$D$101,RANDBETWEEN(1,ROWS(T92:T190)))</f>
        <v>Electric Facial Brush</v>
      </c>
      <c r="U91" t="str">
        <f t="shared" ca="1" si="42"/>
        <v>Cleansing brush for exfoliation</v>
      </c>
      <c r="V91" t="str" cm="1">
        <f t="array" aca="1" ref="V91" ca="1">INDEX($D$2:$D$101,RANDBETWEEN(1,ROWS(V92:V190)))</f>
        <v>Smart Weighing Scale</v>
      </c>
      <c r="W91" t="str">
        <f t="shared" ca="1" si="43"/>
        <v>Body scale with app sync and health data</v>
      </c>
      <c r="X91" t="str" cm="1">
        <f t="array" aca="1" ref="X91" ca="1">INDEX($D$2:$D$101,RANDBETWEEN(1,ROWS(X92:X190)))</f>
        <v>Smart Weighing Scale</v>
      </c>
      <c r="Y91" t="str">
        <f t="shared" ca="1" si="44"/>
        <v>Body scale with app sync and health data</v>
      </c>
      <c r="Z91" t="str" cm="1">
        <f t="array" aca="1" ref="Z91" ca="1">INDEX($D$2:$D$101,RANDBETWEEN(1,ROWS(Z92:Z190)))</f>
        <v>Portable Car Heater</v>
      </c>
      <c r="AA91" t="str">
        <f t="shared" ca="1" si="45"/>
        <v>12V heater for car interiors</v>
      </c>
      <c r="AB91" t="str" cm="1">
        <f t="array" aca="1" ref="AB91" ca="1">INDEX($D$2:$D$101,RANDBETWEEN(1,ROWS(AB92:AB190)))</f>
        <v>Soundbar</v>
      </c>
      <c r="AC91" t="str">
        <f t="shared" ca="1" si="46"/>
        <v>Compact speaker bar for TVs</v>
      </c>
      <c r="AD91" t="str" cm="1">
        <f t="array" aca="1" ref="AD91" ca="1">INDEX($D$2:$D$101,RANDBETWEEN(1,ROWS(AD92:AD190)))</f>
        <v>Mosquito Killer Lamp</v>
      </c>
      <c r="AE91" t="str">
        <f t="shared" ca="1" si="47"/>
        <v>Electric trap for mosquitoes</v>
      </c>
      <c r="AF91" t="str" cm="1">
        <f t="array" aca="1" ref="AF91" ca="1">INDEX($D$2:$D$101,RANDBETWEEN(1,ROWS(AF92:AF190)))</f>
        <v>UV Toothbrush Sterilizer</v>
      </c>
      <c r="AG91" t="str">
        <f t="shared" ca="1" si="48"/>
        <v>Disinfects toothbrush using UV light</v>
      </c>
      <c r="AH91" t="str" cm="1">
        <f t="array" aca="1" ref="AH91" ca="1">INDEX($D$2:$D$101,RANDBETWEEN(1,ROWS(AH92:AH190)))</f>
        <v>Ceiling Light with Fan</v>
      </c>
      <c r="AI91" t="str">
        <f t="shared" ca="1" si="49"/>
        <v>Dual-function decorative ceiling light with built-in fan</v>
      </c>
      <c r="AJ91" t="str" cm="1">
        <f t="array" aca="1" ref="AJ91" ca="1">INDEX($D$2:$D$101,RANDBETWEEN(1,ROWS(AJ92:AJ190)))</f>
        <v>LED Strip with Remote</v>
      </c>
      <c r="AK91" t="str">
        <f t="shared" ca="1" si="35"/>
        <v>Customizable LED lighting with remote control</v>
      </c>
      <c r="AL91" t="str" cm="1">
        <f t="array" aca="1" ref="AL91" ca="1">INDEX($D$2:$D$101,RANDBETWEEN(1,ROWS(AL92:AL190)))</f>
        <v>Personal Neck Fan</v>
      </c>
      <c r="AM91" t="str">
        <f t="shared" ca="1" si="50"/>
        <v>Wearable fan for hands-free cooling</v>
      </c>
      <c r="AN91" t="str" cm="1">
        <f t="array" aca="1" ref="AN91" ca="1">INDEX($D$2:$D$101,RANDBETWEEN(1,ROWS(AN92:AN190)))</f>
        <v>TV Wall Mount</v>
      </c>
      <c r="AO91" t="str">
        <f t="shared" ca="1" si="51"/>
        <v>Mounting bracket for flat TVs</v>
      </c>
      <c r="AP91" t="str" cm="1">
        <f t="array" aca="1" ref="AP91" ca="1">INDEX($D$2:$D$101,RANDBETWEEN(1,ROWS(AP92:AP190)))</f>
        <v>Extension Board with USB</v>
      </c>
      <c r="AQ91" t="str">
        <f t="shared" ca="1" si="52"/>
        <v>Power strip with USB charging ports</v>
      </c>
    </row>
    <row r="92" spans="1:43" ht="20.5" customHeight="1" x14ac:dyDescent="0.3">
      <c r="A92" s="22">
        <v>191</v>
      </c>
      <c r="B92" t="s">
        <v>408</v>
      </c>
      <c r="C92" t="s">
        <v>71</v>
      </c>
      <c r="D92" s="1" t="s">
        <v>272</v>
      </c>
      <c r="E92" s="1" t="s">
        <v>273</v>
      </c>
      <c r="F92" t="str" cm="1">
        <f t="array" aca="1" ref="F92" ca="1">INDEX($D$2:$D$101,RANDBETWEEN(1,ROWS(F93:F191)))</f>
        <v>Waffle Maker</v>
      </c>
      <c r="G92" t="str">
        <f t="shared" ca="1" si="0"/>
        <v>Makes waffles at home</v>
      </c>
      <c r="H92" t="str" cm="1">
        <f t="array" aca="1" ref="H92" ca="1">INDEX($D$2:$D$101,RANDBETWEEN(1,ROWS(H93:H191)))</f>
        <v>Room Heater</v>
      </c>
      <c r="I92" t="str">
        <f t="shared" ca="1" si="36"/>
        <v>Electric heater for indoor heating</v>
      </c>
      <c r="J92" t="str" cm="1">
        <f t="array" aca="1" ref="J92" ca="1">INDEX($D$2:$D$101,RANDBETWEEN(1,ROWS(J93:J191)))</f>
        <v>Portable Induction Stove</v>
      </c>
      <c r="K92" t="str">
        <f t="shared" ca="1" si="37"/>
        <v>Lightweight induction stove for mobile cooking</v>
      </c>
      <c r="L92" t="str" cm="1">
        <f t="array" aca="1" ref="L92" ca="1">INDEX($D$2:$D$101,RANDBETWEEN(1,ROWS(L93:L191)))</f>
        <v>Cold Press Juicer</v>
      </c>
      <c r="M92" t="str">
        <f t="shared" ca="1" si="38"/>
        <v>Slow juicer for better nutrient retention</v>
      </c>
      <c r="N92" t="str" cm="1">
        <f t="array" aca="1" ref="N92" ca="1">INDEX($D$2:$D$101,RANDBETWEEN(1,ROWS(N93:N191)))</f>
        <v>Electric Egg Beater</v>
      </c>
      <c r="O92" t="str">
        <f t="shared" ca="1" si="39"/>
        <v>Handheld electric whisk for baking</v>
      </c>
      <c r="P92" t="str" cm="1">
        <f t="array" aca="1" ref="P92" ca="1">INDEX($D$2:$D$101,RANDBETWEEN(1,ROWS(P93:P191)))</f>
        <v>Wall-Mounted Fan</v>
      </c>
      <c r="Q92" t="str">
        <f t="shared" ca="1" si="40"/>
        <v>Space-saving fan for wall mounting</v>
      </c>
      <c r="R92" t="str" cm="1">
        <f t="array" aca="1" ref="R92" ca="1">INDEX($D$2:$D$101,RANDBETWEEN(1,ROWS(R93:R191)))</f>
        <v>Smart Doorbell</v>
      </c>
      <c r="S92" t="str">
        <f t="shared" ca="1" si="41"/>
        <v>Wi-Fi-enabled doorbell with camera and intercom</v>
      </c>
      <c r="T92" t="str" cm="1">
        <f t="array" aca="1" ref="T92" ca="1">INDEX($D$2:$D$101,RANDBETWEEN(1,ROWS(T93:T191)))</f>
        <v>Air Humidifier with Light</v>
      </c>
      <c r="U92" t="str">
        <f t="shared" ca="1" si="42"/>
        <v>Adds moisture and includes night light feature</v>
      </c>
      <c r="V92" t="str" cm="1">
        <f t="array" aca="1" ref="V92" ca="1">INDEX($D$2:$D$101,RANDBETWEEN(1,ROWS(V93:V191)))</f>
        <v>Portable Car Heater</v>
      </c>
      <c r="W92" t="str">
        <f t="shared" ca="1" si="43"/>
        <v>12V heater for car interiors</v>
      </c>
      <c r="X92" t="str" cm="1">
        <f t="array" aca="1" ref="X92" ca="1">INDEX($D$2:$D$101,RANDBETWEEN(1,ROWS(X93:X191)))</f>
        <v>Hygrometer</v>
      </c>
      <c r="Y92" t="str">
        <f t="shared" ca="1" si="44"/>
        <v>Measures indoor humidity levels</v>
      </c>
      <c r="Z92" t="str" cm="1">
        <f t="array" aca="1" ref="Z92" ca="1">INDEX($D$2:$D$101,RANDBETWEEN(1,ROWS(Z93:Z191)))</f>
        <v>LED Desk Lamp</v>
      </c>
      <c r="AA92" t="str">
        <f t="shared" ca="1" si="45"/>
        <v>Adjustable desk lamp with LED lighting</v>
      </c>
      <c r="AB92" t="str" cm="1">
        <f t="array" aca="1" ref="AB92" ca="1">INDEX($D$2:$D$101,RANDBETWEEN(1,ROWS(AB93:AB191)))</f>
        <v>Wi-Fi Range Extender</v>
      </c>
      <c r="AC92" t="str">
        <f t="shared" ca="1" si="46"/>
        <v>Boosts home Wi-Fi signal</v>
      </c>
      <c r="AD92" t="str" cm="1">
        <f t="array" aca="1" ref="AD92" ca="1">INDEX($D$2:$D$101,RANDBETWEEN(1,ROWS(AD93:AD191)))</f>
        <v>Wi-Fi Range Extender</v>
      </c>
      <c r="AE92" t="str">
        <f t="shared" ca="1" si="47"/>
        <v>Boosts home Wi-Fi signal</v>
      </c>
      <c r="AF92" t="str" cm="1">
        <f t="array" aca="1" ref="AF92" ca="1">INDEX($D$2:$D$101,RANDBETWEEN(1,ROWS(AF93:AF191)))</f>
        <v>Solar Garden Light</v>
      </c>
      <c r="AG92" t="str">
        <f t="shared" ca="1" si="48"/>
        <v>Solar-powered outdoor lighting</v>
      </c>
      <c r="AH92" t="str" cm="1">
        <f t="array" aca="1" ref="AH92" ca="1">INDEX($D$2:$D$101,RANDBETWEEN(1,ROWS(AH93:AH191)))</f>
        <v>Ice Maker</v>
      </c>
      <c r="AI92" t="str">
        <f t="shared" ca="1" si="49"/>
        <v>Machine that produces ice cubes automatically</v>
      </c>
      <c r="AJ92" t="str" cm="1">
        <f t="array" aca="1" ref="AJ92" ca="1">INDEX($D$2:$D$101,RANDBETWEEN(1,ROWS(AJ93:AJ191)))</f>
        <v>Portable Induction Stove</v>
      </c>
      <c r="AK92" t="str">
        <f t="shared" ca="1" si="35"/>
        <v>Lightweight induction stove for mobile cooking</v>
      </c>
      <c r="AL92" t="str" cm="1">
        <f t="array" aca="1" ref="AL92" ca="1">INDEX($D$2:$D$101,RANDBETWEEN(1,ROWS(AL93:AL191)))</f>
        <v>TV Wall Mount</v>
      </c>
      <c r="AM92" t="str">
        <f t="shared" ca="1" si="50"/>
        <v>Mounting bracket for flat TVs</v>
      </c>
      <c r="AN92" t="str" cm="1">
        <f t="array" aca="1" ref="AN92" ca="1">INDEX($D$2:$D$101,RANDBETWEEN(1,ROWS(AN93:AN191)))</f>
        <v>HDMI Cable</v>
      </c>
      <c r="AO92" t="str">
        <f t="shared" ca="1" si="51"/>
        <v>Transfers audio/video signals</v>
      </c>
      <c r="AP92" t="str" cm="1">
        <f t="array" aca="1" ref="AP92" ca="1">INDEX($D$2:$D$101,RANDBETWEEN(1,ROWS(AP93:AP191)))</f>
        <v>Smart Geyser</v>
      </c>
      <c r="AQ92" t="str">
        <f t="shared" ca="1" si="52"/>
        <v>Internet-connected water heater</v>
      </c>
    </row>
    <row r="93" spans="1:43" ht="20.5" customHeight="1" x14ac:dyDescent="0.3">
      <c r="A93" s="22">
        <v>192</v>
      </c>
      <c r="B93" t="s">
        <v>409</v>
      </c>
      <c r="C93" t="s">
        <v>74</v>
      </c>
      <c r="D93" s="1" t="s">
        <v>274</v>
      </c>
      <c r="E93" s="1" t="s">
        <v>275</v>
      </c>
      <c r="F93" t="str" cm="1">
        <f t="array" aca="1" ref="F93" ca="1">INDEX($D$2:$D$101,RANDBETWEEN(1,ROWS(F94:F192)))</f>
        <v>Pedestal Fan</v>
      </c>
      <c r="G93" t="str">
        <f t="shared" ca="1" si="0"/>
        <v>Adjustable stand fan for personal cooling</v>
      </c>
      <c r="H93" t="str" cm="1">
        <f t="array" aca="1" ref="H93" ca="1">INDEX($D$2:$D$101,RANDBETWEEN(1,ROWS(H94:H192)))</f>
        <v>USB-C Docking Station</v>
      </c>
      <c r="I93" t="str">
        <f t="shared" ca="1" si="36"/>
        <v>Expands ports for laptops</v>
      </c>
      <c r="J93" t="str" cm="1">
        <f t="array" aca="1" ref="J93" ca="1">INDEX($D$2:$D$101,RANDBETWEEN(1,ROWS(J94:J192)))</f>
        <v>Roti Maker</v>
      </c>
      <c r="K93" t="str">
        <f t="shared" ca="1" si="37"/>
        <v>Flattens and cooks Indian flatbreads</v>
      </c>
      <c r="L93" t="str" cm="1">
        <f t="array" aca="1" ref="L93" ca="1">INDEX($D$2:$D$101,RANDBETWEEN(1,ROWS(L94:L192)))</f>
        <v>Smart Microwave</v>
      </c>
      <c r="M93" t="str">
        <f t="shared" ca="1" si="38"/>
        <v>Microwave with voice or app control</v>
      </c>
      <c r="N93" t="str" cm="1">
        <f t="array" aca="1" ref="N93" ca="1">INDEX($D$2:$D$101,RANDBETWEEN(1,ROWS(N94:N192)))</f>
        <v>Kitchen Weighing Scale</v>
      </c>
      <c r="O93" t="str">
        <f t="shared" ca="1" si="39"/>
        <v>Measures food portions accurately</v>
      </c>
      <c r="P93" t="str" cm="1">
        <f t="array" aca="1" ref="P93" ca="1">INDEX($D$2:$D$101,RANDBETWEEN(1,ROWS(P94:P192)))</f>
        <v>Tower Fan</v>
      </c>
      <c r="Q93" t="str">
        <f t="shared" ca="1" si="40"/>
        <v>Space-saving vertical fan</v>
      </c>
      <c r="R93" t="str" cm="1">
        <f t="array" aca="1" ref="R93" ca="1">INDEX($D$2:$D$101,RANDBETWEEN(1,ROWS(R94:R192)))</f>
        <v>Mini Bluetooth Receiver</v>
      </c>
      <c r="S93" t="str">
        <f t="shared" ca="1" si="41"/>
        <v>Adds Bluetooth to non-Bluetooth devices</v>
      </c>
      <c r="T93" t="str" cm="1">
        <f t="array" aca="1" ref="T93" ca="1">INDEX($D$2:$D$101,RANDBETWEEN(1,ROWS(T94:T192)))</f>
        <v>Personal Neck Fan</v>
      </c>
      <c r="U93" t="str">
        <f t="shared" ca="1" si="42"/>
        <v>Wearable fan for hands-free cooling</v>
      </c>
      <c r="V93" t="str" cm="1">
        <f t="array" aca="1" ref="V93" ca="1">INDEX($D$2:$D$101,RANDBETWEEN(1,ROWS(V94:V192)))</f>
        <v>Car Air Purifier</v>
      </c>
      <c r="W93" t="str">
        <f t="shared" ca="1" si="43"/>
        <v>Filters air inside vehicles</v>
      </c>
      <c r="X93" t="str" cm="1">
        <f t="array" aca="1" ref="X93" ca="1">INDEX($D$2:$D$101,RANDBETWEEN(1,ROWS(X94:X192)))</f>
        <v>Egg Boiler</v>
      </c>
      <c r="Y93" t="str">
        <f t="shared" ca="1" si="44"/>
        <v>Automatically boils eggs</v>
      </c>
      <c r="Z93" t="str" cm="1">
        <f t="array" aca="1" ref="Z93" ca="1">INDEX($D$2:$D$101,RANDBETWEEN(1,ROWS(Z94:Z192)))</f>
        <v>Heated Eyelash Curler</v>
      </c>
      <c r="AA93" t="str">
        <f t="shared" ca="1" si="45"/>
        <v>Shapes eyelashes with gentle heat</v>
      </c>
      <c r="AB93" t="str" cm="1">
        <f t="array" aca="1" ref="AB93" ca="1">INDEX($D$2:$D$101,RANDBETWEEN(1,ROWS(AB94:AB192)))</f>
        <v>Bluetooth Transmitter</v>
      </c>
      <c r="AC93" t="str">
        <f t="shared" ca="1" si="46"/>
        <v>Sends audio to Bluetooth devices</v>
      </c>
      <c r="AD93" t="str" cm="1">
        <f t="array" aca="1" ref="AD93" ca="1">INDEX($D$2:$D$101,RANDBETWEEN(1,ROWS(AD94:AD192)))</f>
        <v>Air Cooler</v>
      </c>
      <c r="AE93" t="str">
        <f t="shared" ca="1" si="47"/>
        <v>Evaporative cooling appliance for rooms</v>
      </c>
      <c r="AF93" t="str" cm="1">
        <f t="array" aca="1" ref="AF93" ca="1">INDEX($D$2:$D$101,RANDBETWEEN(1,ROWS(AF94:AF192)))</f>
        <v>Smart Air Conditioner</v>
      </c>
      <c r="AG93" t="str">
        <f t="shared" ca="1" si="48"/>
        <v>AC unit controllable via smartphone or voice</v>
      </c>
      <c r="AH93" t="str" cm="1">
        <f t="array" aca="1" ref="AH93" ca="1">INDEX($D$2:$D$101,RANDBETWEEN(1,ROWS(AH94:AH192)))</f>
        <v>Tower Fan</v>
      </c>
      <c r="AI93" t="str">
        <f t="shared" ca="1" si="49"/>
        <v>Space-saving vertical fan</v>
      </c>
      <c r="AJ93" t="str" cm="1">
        <f t="array" aca="1" ref="AJ93" ca="1">INDEX($D$2:$D$101,RANDBETWEEN(1,ROWS(AJ94:AJ192)))</f>
        <v>Motion Sensor Light</v>
      </c>
      <c r="AK93" t="str">
        <f t="shared" ca="1" si="35"/>
        <v>Lights that activate on movement</v>
      </c>
      <c r="AL93" t="str" cm="1">
        <f t="array" aca="1" ref="AL93" ca="1">INDEX($D$2:$D$101,RANDBETWEEN(1,ROWS(AL94:AL192)))</f>
        <v>Cord Organizer Box</v>
      </c>
      <c r="AM93" t="str">
        <f t="shared" ca="1" si="50"/>
        <v>Box to hide and manage power strips</v>
      </c>
      <c r="AN93" t="str" cm="1">
        <f t="array" aca="1" ref="AN93" ca="1">INDEX($D$2:$D$101,RANDBETWEEN(1,ROWS(AN94:AN192)))</f>
        <v>HDMI Switch</v>
      </c>
      <c r="AO93" t="str">
        <f t="shared" ca="1" si="51"/>
        <v>Connects multiple HDMI devices</v>
      </c>
      <c r="AP93" t="str" cm="1">
        <f t="array" aca="1" ref="AP93" ca="1">INDEX($D$2:$D$101,RANDBETWEEN(1,ROWS(AP94:AP192)))</f>
        <v>Heated Eyelash Curler</v>
      </c>
      <c r="AQ93" t="str">
        <f t="shared" ca="1" si="52"/>
        <v>Shapes eyelashes with gentle heat</v>
      </c>
    </row>
    <row r="94" spans="1:43" ht="20.5" customHeight="1" x14ac:dyDescent="0.3">
      <c r="A94" s="22">
        <v>193</v>
      </c>
      <c r="B94" t="s">
        <v>410</v>
      </c>
      <c r="C94" t="s">
        <v>77</v>
      </c>
      <c r="D94" s="1" t="s">
        <v>276</v>
      </c>
      <c r="E94" s="1" t="s">
        <v>277</v>
      </c>
      <c r="F94" t="str" cm="1">
        <f t="array" aca="1" ref="F94" ca="1">INDEX($D$2:$D$101,RANDBETWEEN(1,ROWS(F95:F193)))</f>
        <v>Pancake Maker</v>
      </c>
      <c r="G94" t="str">
        <f t="shared" ca="1" si="0"/>
        <v>Easy tool for making pancakes</v>
      </c>
      <c r="H94" t="str" cm="1">
        <f t="array" aca="1" ref="H94" ca="1">INDEX($D$2:$D$101,RANDBETWEEN(1,ROWS(H95:H193)))</f>
        <v>Mesh Wi-Fi System</v>
      </c>
      <c r="I94" t="str">
        <f t="shared" ca="1" si="36"/>
        <v>Whole-home wireless coverage</v>
      </c>
      <c r="J94" t="str" cm="1">
        <f t="array" aca="1" ref="J94" ca="1">INDEX($D$2:$D$101,RANDBETWEEN(1,ROWS(J95:J193)))</f>
        <v>Smart Alarm Clock</v>
      </c>
      <c r="K94" t="str">
        <f t="shared" ca="1" si="37"/>
        <v>Alarm with smart features like weather, music, and lights</v>
      </c>
      <c r="L94" t="str" cm="1">
        <f t="array" aca="1" ref="L94" ca="1">INDEX($D$2:$D$101,RANDBETWEEN(1,ROWS(L95:L193)))</f>
        <v>Instant Coffee Machine</v>
      </c>
      <c r="M94" t="str">
        <f t="shared" ca="1" si="38"/>
        <v>Brews coffee quickly and easily</v>
      </c>
      <c r="N94" t="str" cm="1">
        <f t="array" aca="1" ref="N94" ca="1">INDEX($D$2:$D$101,RANDBETWEEN(1,ROWS(N95:N193)))</f>
        <v>Facial Steamer</v>
      </c>
      <c r="O94" t="str">
        <f t="shared" ca="1" si="39"/>
        <v>Opens pores for skincare routine</v>
      </c>
      <c r="P94" t="str" cm="1">
        <f t="array" aca="1" ref="P94" ca="1">INDEX($D$2:$D$101,RANDBETWEEN(1,ROWS(P95:P193)))</f>
        <v>Mini Fridge</v>
      </c>
      <c r="Q94" t="str">
        <f t="shared" ca="1" si="40"/>
        <v>Compact refrigerator for beverages</v>
      </c>
      <c r="R94" t="str" cm="1">
        <f t="array" aca="1" ref="R94" ca="1">INDEX($D$2:$D$101,RANDBETWEEN(1,ROWS(R95:R193)))</f>
        <v>Smart Alarm Clock</v>
      </c>
      <c r="S94" t="str">
        <f t="shared" ca="1" si="41"/>
        <v>Alarm with smart features like weather, music, and lights</v>
      </c>
      <c r="T94" t="str" cm="1">
        <f t="array" aca="1" ref="T94" ca="1">INDEX($D$2:$D$101,RANDBETWEEN(1,ROWS(T95:T193)))</f>
        <v>Inverter AC</v>
      </c>
      <c r="U94" t="str">
        <f t="shared" ca="1" si="42"/>
        <v>Energy-efficient air conditioner</v>
      </c>
      <c r="V94" t="str" cm="1">
        <f t="array" aca="1" ref="V94" ca="1">INDEX($D$2:$D$101,RANDBETWEEN(1,ROWS(V95:V193)))</f>
        <v>Desktop Air Purifier</v>
      </c>
      <c r="W94" t="str">
        <f t="shared" ca="1" si="43"/>
        <v>Compact purifier for desks</v>
      </c>
      <c r="X94" t="str" cm="1">
        <f t="array" aca="1" ref="X94" ca="1">INDEX($D$2:$D$101,RANDBETWEEN(1,ROWS(X95:X193)))</f>
        <v>Hygrometer</v>
      </c>
      <c r="Y94" t="str">
        <f t="shared" ca="1" si="44"/>
        <v>Measures indoor humidity levels</v>
      </c>
      <c r="Z94" t="str" cm="1">
        <f t="array" aca="1" ref="Z94" ca="1">INDEX($D$2:$D$101,RANDBETWEEN(1,ROWS(Z95:Z193)))</f>
        <v>Automatic Hand Sanitizer</v>
      </c>
      <c r="AA94" t="str">
        <f t="shared" ca="1" si="45"/>
        <v>Touchless sanitizer dispenser</v>
      </c>
      <c r="AB94" t="str" cm="1">
        <f t="array" aca="1" ref="AB94" ca="1">INDEX($D$2:$D$101,RANDBETWEEN(1,ROWS(AB95:AB193)))</f>
        <v>Cold Press Juicer</v>
      </c>
      <c r="AC94" t="str">
        <f t="shared" ca="1" si="46"/>
        <v>Slow juicer for better nutrient retention</v>
      </c>
      <c r="AD94" t="str" cm="1">
        <f t="array" aca="1" ref="AD94" ca="1">INDEX($D$2:$D$101,RANDBETWEEN(1,ROWS(AD95:AD193)))</f>
        <v>Subwoofer</v>
      </c>
      <c r="AE94" t="str">
        <f t="shared" ca="1" si="47"/>
        <v>Deep bass audio speaker</v>
      </c>
      <c r="AF94" t="str" cm="1">
        <f t="array" aca="1" ref="AF94" ca="1">INDEX($D$2:$D$101,RANDBETWEEN(1,ROWS(AF95:AF193)))</f>
        <v>Instant Coffee Machine</v>
      </c>
      <c r="AG94" t="str">
        <f t="shared" ca="1" si="48"/>
        <v>Brews coffee quickly and easily</v>
      </c>
      <c r="AH94" t="str" cm="1">
        <f t="array" aca="1" ref="AH94" ca="1">INDEX($D$2:$D$101,RANDBETWEEN(1,ROWS(AH95:AH193)))</f>
        <v>Magnetic Charging Cable</v>
      </c>
      <c r="AI94" t="str">
        <f t="shared" ca="1" si="49"/>
        <v>Detachable magnetic USB cable</v>
      </c>
      <c r="AJ94" t="str" cm="1">
        <f t="array" aca="1" ref="AJ94" ca="1">INDEX($D$2:$D$101,RANDBETWEEN(1,ROWS(AJ95:AJ193)))</f>
        <v>Instant Coffee Machine</v>
      </c>
      <c r="AK94" t="str">
        <f t="shared" ca="1" si="35"/>
        <v>Brews coffee quickly and easily</v>
      </c>
      <c r="AL94" t="str" cm="1">
        <f t="array" aca="1" ref="AL94" ca="1">INDEX($D$2:$D$101,RANDBETWEEN(1,ROWS(AL95:AL193)))</f>
        <v>Meat Grinder</v>
      </c>
      <c r="AM94" t="str">
        <f t="shared" ca="1" si="50"/>
        <v>Grinds meat for home cooking</v>
      </c>
      <c r="AN94" t="str" cm="1">
        <f t="array" aca="1" ref="AN94" ca="1">INDEX($D$2:$D$101,RANDBETWEEN(1,ROWS(AN95:AN193)))</f>
        <v>Mosquito Killer Lamp</v>
      </c>
      <c r="AO94" t="str">
        <f t="shared" ca="1" si="51"/>
        <v>Electric trap for mosquitoes</v>
      </c>
      <c r="AP94" t="str" cm="1">
        <f t="array" aca="1" ref="AP94" ca="1">INDEX($D$2:$D$101,RANDBETWEEN(1,ROWS(AP95:AP193)))</f>
        <v>LED Strip with Remote</v>
      </c>
      <c r="AQ94" t="str">
        <f t="shared" ca="1" si="52"/>
        <v>Customizable LED lighting with remote control</v>
      </c>
    </row>
    <row r="95" spans="1:43" ht="20.5" customHeight="1" x14ac:dyDescent="0.3">
      <c r="A95" s="22">
        <v>194</v>
      </c>
      <c r="B95" t="s">
        <v>411</v>
      </c>
      <c r="C95" t="s">
        <v>80</v>
      </c>
      <c r="D95" s="1" t="s">
        <v>278</v>
      </c>
      <c r="E95" s="1" t="s">
        <v>279</v>
      </c>
      <c r="F95" t="str" cm="1">
        <f t="array" aca="1" ref="F95" ca="1">INDEX($D$2:$D$101,RANDBETWEEN(1,ROWS(F96:F194)))</f>
        <v>TV Wall Mount</v>
      </c>
      <c r="G95" t="str">
        <f t="shared" ca="1" si="0"/>
        <v>Mounting bracket for flat TVs</v>
      </c>
      <c r="H95" t="str" cm="1">
        <f t="array" aca="1" ref="H95" ca="1">INDEX($D$2:$D$101,RANDBETWEEN(1,ROWS(H96:H194)))</f>
        <v>Smart Weighing Scale</v>
      </c>
      <c r="I95" t="str">
        <f t="shared" ca="1" si="36"/>
        <v>Body scale with app sync and health data</v>
      </c>
      <c r="J95" t="str" cm="1">
        <f t="array" aca="1" ref="J95" ca="1">INDEX($D$2:$D$101,RANDBETWEEN(1,ROWS(J96:J194)))</f>
        <v>Pedestal Fan</v>
      </c>
      <c r="K95" t="str">
        <f t="shared" ca="1" si="37"/>
        <v>Adjustable stand fan for personal cooling</v>
      </c>
      <c r="L95" t="str" cm="1">
        <f t="array" aca="1" ref="L95" ca="1">INDEX($D$2:$D$101,RANDBETWEEN(1,ROWS(L96:L194)))</f>
        <v>Mosquito Killer Lamp</v>
      </c>
      <c r="M95" t="str">
        <f t="shared" ca="1" si="38"/>
        <v>Electric trap for mosquitoes</v>
      </c>
      <c r="N95" t="str" cm="1">
        <f t="array" aca="1" ref="N95" ca="1">INDEX($D$2:$D$101,RANDBETWEEN(1,ROWS(N96:N194)))</f>
        <v>Smart Weighing Scale</v>
      </c>
      <c r="O95" t="str">
        <f t="shared" ca="1" si="39"/>
        <v>Body scale with app sync and health data</v>
      </c>
      <c r="P95" t="str" cm="1">
        <f t="array" aca="1" ref="P95" ca="1">INDEX($D$2:$D$101,RANDBETWEEN(1,ROWS(P96:P194)))</f>
        <v>Motion Detector</v>
      </c>
      <c r="Q95" t="str">
        <f t="shared" ca="1" si="40"/>
        <v>Triggers alarm or light on motion detection</v>
      </c>
      <c r="R95" t="str" cm="1">
        <f t="array" aca="1" ref="R95" ca="1">INDEX($D$2:$D$101,RANDBETWEEN(1,ROWS(R96:R194)))</f>
        <v>Heated Eyelash Curler</v>
      </c>
      <c r="S95" t="str">
        <f t="shared" ca="1" si="41"/>
        <v>Shapes eyelashes with gentle heat</v>
      </c>
      <c r="T95" t="str" cm="1">
        <f t="array" aca="1" ref="T95" ca="1">INDEX($D$2:$D$101,RANDBETWEEN(1,ROWS(T96:T194)))</f>
        <v>Tower Fan</v>
      </c>
      <c r="U95" t="str">
        <f t="shared" ca="1" si="42"/>
        <v>Space-saving vertical fan</v>
      </c>
      <c r="V95" t="str" cm="1">
        <f t="array" aca="1" ref="V95" ca="1">INDEX($D$2:$D$101,RANDBETWEEN(1,ROWS(V96:V194)))</f>
        <v>Rechargeable Torch</v>
      </c>
      <c r="W95" t="str">
        <f t="shared" ca="1" si="43"/>
        <v>Flashlight that can be recharged</v>
      </c>
      <c r="X95" t="str" cm="1">
        <f t="array" aca="1" ref="X95" ca="1">INDEX($D$2:$D$101,RANDBETWEEN(1,ROWS(X96:X194)))</f>
        <v>Smart Microwave</v>
      </c>
      <c r="Y95" t="str">
        <f t="shared" ca="1" si="44"/>
        <v>Microwave with voice or app control</v>
      </c>
      <c r="Z95" t="str" cm="1">
        <f t="array" aca="1" ref="Z95" ca="1">INDEX($D$2:$D$101,RANDBETWEEN(1,ROWS(Z96:Z194)))</f>
        <v>Cold Press Juicer</v>
      </c>
      <c r="AA95" t="str">
        <f t="shared" ca="1" si="45"/>
        <v>Slow juicer for better nutrient retention</v>
      </c>
      <c r="AB95" t="str" cm="1">
        <f t="array" aca="1" ref="AB95" ca="1">INDEX($D$2:$D$101,RANDBETWEEN(1,ROWS(AB96:AB194)))</f>
        <v>Tower Fan</v>
      </c>
      <c r="AC95" t="str">
        <f t="shared" ca="1" si="46"/>
        <v>Space-saving vertical fan</v>
      </c>
      <c r="AD95" t="str" cm="1">
        <f t="array" aca="1" ref="AD95" ca="1">INDEX($D$2:$D$101,RANDBETWEEN(1,ROWS(AD96:AD194)))</f>
        <v>Smart Smoke Detector</v>
      </c>
      <c r="AE95" t="str">
        <f t="shared" ca="1" si="47"/>
        <v>Smoke alarm with smart alerts</v>
      </c>
      <c r="AF95" t="str" cm="1">
        <f t="array" aca="1" ref="AF95" ca="1">INDEX($D$2:$D$101,RANDBETWEEN(1,ROWS(AF96:AF194)))</f>
        <v>Wall-Mounted Fan</v>
      </c>
      <c r="AG95" t="str">
        <f t="shared" ca="1" si="48"/>
        <v>Space-saving fan for wall mounting</v>
      </c>
      <c r="AH95" t="str" cm="1">
        <f t="array" aca="1" ref="AH95" ca="1">INDEX($D$2:$D$101,RANDBETWEEN(1,ROWS(AH96:AH194)))</f>
        <v>Car Air Purifier</v>
      </c>
      <c r="AI95" t="str">
        <f t="shared" ca="1" si="49"/>
        <v>Filters air inside vehicles</v>
      </c>
      <c r="AJ95" t="str" cm="1">
        <f t="array" aca="1" ref="AJ95" ca="1">INDEX($D$2:$D$101,RANDBETWEEN(1,ROWS(AJ96:AJ194)))</f>
        <v>Rechargeable Torch</v>
      </c>
      <c r="AK95" t="str">
        <f t="shared" ca="1" si="35"/>
        <v>Flashlight that can be recharged</v>
      </c>
      <c r="AL95" t="str" cm="1">
        <f t="array" aca="1" ref="AL95" ca="1">INDEX($D$2:$D$101,RANDBETWEEN(1,ROWS(AL96:AL194)))</f>
        <v>TV Wall Mount</v>
      </c>
      <c r="AM95" t="str">
        <f t="shared" ca="1" si="50"/>
        <v>Mounting bracket for flat TVs</v>
      </c>
      <c r="AN95" t="str" cm="1">
        <f t="array" aca="1" ref="AN95" ca="1">INDEX($D$2:$D$101,RANDBETWEEN(1,ROWS(AN96:AN194)))</f>
        <v>Wi-Fi Range Extender</v>
      </c>
      <c r="AO95" t="str">
        <f t="shared" ca="1" si="51"/>
        <v>Boosts home Wi-Fi signal</v>
      </c>
      <c r="AP95" t="str" cm="1">
        <f t="array" aca="1" ref="AP95" ca="1">INDEX($D$2:$D$101,RANDBETWEEN(1,ROWS(AP96:AP194)))</f>
        <v>Ceiling Light with Fan</v>
      </c>
      <c r="AQ95" t="str">
        <f t="shared" ca="1" si="52"/>
        <v>Dual-function decorative ceiling light with built-in fan</v>
      </c>
    </row>
    <row r="96" spans="1:43" ht="20.5" customHeight="1" x14ac:dyDescent="0.3">
      <c r="A96" s="22">
        <v>195</v>
      </c>
      <c r="B96" t="s">
        <v>412</v>
      </c>
      <c r="C96" t="s">
        <v>83</v>
      </c>
      <c r="D96" s="1" t="s">
        <v>280</v>
      </c>
      <c r="E96" s="1" t="s">
        <v>281</v>
      </c>
      <c r="F96" t="str" cm="1">
        <f t="array" aca="1" ref="F96" ca="1">INDEX($D$2:$D$101,RANDBETWEEN(1,ROWS(F97:F195)))</f>
        <v>Rechargeable Torch</v>
      </c>
      <c r="G96" t="str">
        <f t="shared" ca="1" si="0"/>
        <v>Flashlight that can be recharged</v>
      </c>
      <c r="H96" t="str" cm="1">
        <f t="array" aca="1" ref="H96" ca="1">INDEX($D$2:$D$101,RANDBETWEEN(1,ROWS(H97:H195)))</f>
        <v>Car Subwoofer</v>
      </c>
      <c r="I96" t="str">
        <f t="shared" ca="1" si="36"/>
        <v>Audio upgrade for car music systems</v>
      </c>
      <c r="J96" t="str" cm="1">
        <f t="array" aca="1" ref="J96" ca="1">INDEX($D$2:$D$101,RANDBETWEEN(1,ROWS(J97:J195)))</f>
        <v>Ultrasonic Humidifier</v>
      </c>
      <c r="K96" t="str">
        <f t="shared" ca="1" si="37"/>
        <v>Mist-based humidifier using ultrasonic vibrations</v>
      </c>
      <c r="L96" t="str" cm="1">
        <f t="array" aca="1" ref="L96" ca="1">INDEX($D$2:$D$101,RANDBETWEEN(1,ROWS(L97:L195)))</f>
        <v>Bluetooth Transmitter</v>
      </c>
      <c r="M96" t="str">
        <f t="shared" ca="1" si="38"/>
        <v>Sends audio to Bluetooth devices</v>
      </c>
      <c r="N96" t="str" cm="1">
        <f t="array" aca="1" ref="N96" ca="1">INDEX($D$2:$D$101,RANDBETWEEN(1,ROWS(N97:N195)))</f>
        <v>Electric Chopper</v>
      </c>
      <c r="O96" t="str">
        <f t="shared" ca="1" si="39"/>
        <v>Chops vegetables and fruits quickly</v>
      </c>
      <c r="P96" t="str" cm="1">
        <f t="array" aca="1" ref="P96" ca="1">INDEX($D$2:$D$101,RANDBETWEEN(1,ROWS(P97:P195)))</f>
        <v>Kitchen Weighing Scale</v>
      </c>
      <c r="Q96" t="str">
        <f t="shared" ca="1" si="40"/>
        <v>Measures food portions accurately</v>
      </c>
      <c r="R96" t="str" cm="1">
        <f t="array" aca="1" ref="R96" ca="1">INDEX($D$2:$D$101,RANDBETWEEN(1,ROWS(R97:R195)))</f>
        <v>Kitchen Timer</v>
      </c>
      <c r="S96" t="str">
        <f t="shared" ca="1" si="41"/>
        <v>Digital countdown timer for cooking</v>
      </c>
      <c r="T96" t="str" cm="1">
        <f t="array" aca="1" ref="T96" ca="1">INDEX($D$2:$D$101,RANDBETWEEN(1,ROWS(T97:T195)))</f>
        <v>Egg Boiler</v>
      </c>
      <c r="U96" t="str">
        <f t="shared" ca="1" si="42"/>
        <v>Automatically boils eggs</v>
      </c>
      <c r="V96" t="str" cm="1">
        <f t="array" aca="1" ref="V96" ca="1">INDEX($D$2:$D$101,RANDBETWEEN(1,ROWS(V97:V195)))</f>
        <v>USB-C Docking Station</v>
      </c>
      <c r="W96" t="str">
        <f t="shared" ca="1" si="43"/>
        <v>Expands ports for laptops</v>
      </c>
      <c r="X96" t="str" cm="1">
        <f t="array" aca="1" ref="X96" ca="1">INDEX($D$2:$D$101,RANDBETWEEN(1,ROWS(X97:X195)))</f>
        <v>Roti Maker</v>
      </c>
      <c r="Y96" t="str">
        <f t="shared" ca="1" si="44"/>
        <v>Flattens and cooks Indian flatbreads</v>
      </c>
      <c r="Z96" t="str" cm="1">
        <f t="array" aca="1" ref="Z96" ca="1">INDEX($D$2:$D$101,RANDBETWEEN(1,ROWS(Z97:Z195)))</f>
        <v>HDMI Cable</v>
      </c>
      <c r="AA96" t="str">
        <f t="shared" ca="1" si="45"/>
        <v>Transfers audio/video signals</v>
      </c>
      <c r="AB96" t="str" cm="1">
        <f t="array" aca="1" ref="AB96" ca="1">INDEX($D$2:$D$101,RANDBETWEEN(1,ROWS(AB97:AB195)))</f>
        <v>Room Heater</v>
      </c>
      <c r="AC96" t="str">
        <f t="shared" ca="1" si="46"/>
        <v>Electric heater for indoor heating</v>
      </c>
      <c r="AD96" t="str" cm="1">
        <f t="array" aca="1" ref="AD96" ca="1">INDEX($D$2:$D$101,RANDBETWEEN(1,ROWS(AD97:AD195)))</f>
        <v>Cord Organizer Box</v>
      </c>
      <c r="AE96" t="str">
        <f t="shared" ca="1" si="47"/>
        <v>Box to hide and manage power strips</v>
      </c>
      <c r="AF96" t="str" cm="1">
        <f t="array" aca="1" ref="AF96" ca="1">INDEX($D$2:$D$101,RANDBETWEEN(1,ROWS(AF97:AF195)))</f>
        <v>Pancake Maker</v>
      </c>
      <c r="AG96" t="str">
        <f t="shared" ca="1" si="48"/>
        <v>Easy tool for making pancakes</v>
      </c>
      <c r="AH96" t="str" cm="1">
        <f t="array" aca="1" ref="AH96" ca="1">INDEX($D$2:$D$101,RANDBETWEEN(1,ROWS(AH97:AH195)))</f>
        <v>Electric Nail File Kit</v>
      </c>
      <c r="AI96" t="str">
        <f t="shared" ca="1" si="49"/>
        <v>For manicure and pedicure at home</v>
      </c>
      <c r="AJ96" t="str" cm="1">
        <f t="array" aca="1" ref="AJ96" ca="1">INDEX($D$2:$D$101,RANDBETWEEN(1,ROWS(AJ97:AJ195)))</f>
        <v>Ultrasonic Skin Cleaner</v>
      </c>
      <c r="AK96" t="str">
        <f t="shared" ca="1" si="35"/>
        <v>Deep cleans skin using ultrasonic waves</v>
      </c>
      <c r="AL96" t="str" cm="1">
        <f t="array" aca="1" ref="AL96" ca="1">INDEX($D$2:$D$101,RANDBETWEEN(1,ROWS(AL97:AL195)))</f>
        <v>TV Wall Mount</v>
      </c>
      <c r="AM96" t="str">
        <f t="shared" ca="1" si="50"/>
        <v>Mounting bracket for flat TVs</v>
      </c>
      <c r="AN96" t="str" cm="1">
        <f t="array" aca="1" ref="AN96" ca="1">INDEX($D$2:$D$101,RANDBETWEEN(1,ROWS(AN97:AN195)))</f>
        <v>Smart Rearview Mirror</v>
      </c>
      <c r="AO96" t="str">
        <f t="shared" ca="1" si="51"/>
        <v>Touchscreen mirror with GPS and camera</v>
      </c>
      <c r="AP96" t="str" cm="1">
        <f t="array" aca="1" ref="AP96" ca="1">INDEX($D$2:$D$101,RANDBETWEEN(1,ROWS(AP97:AP195)))</f>
        <v>Inverter AC</v>
      </c>
      <c r="AQ96" t="str">
        <f t="shared" ca="1" si="52"/>
        <v>Energy-efficient air conditioner</v>
      </c>
    </row>
    <row r="97" spans="1:43" ht="20.5" customHeight="1" x14ac:dyDescent="0.3">
      <c r="A97" s="22">
        <v>196</v>
      </c>
      <c r="B97" t="s">
        <v>413</v>
      </c>
      <c r="C97" t="s">
        <v>86</v>
      </c>
      <c r="D97" s="1" t="s">
        <v>282</v>
      </c>
      <c r="E97" s="1" t="s">
        <v>283</v>
      </c>
      <c r="F97" t="str" cm="1">
        <f t="array" aca="1" ref="F97" ca="1">INDEX($D$2:$D$101,RANDBETWEEN(1,ROWS(F98:F196)))</f>
        <v>Plug-in Night Light</v>
      </c>
      <c r="G97" t="str">
        <f t="shared" ca="1" si="0"/>
        <v>Low-power night light for rooms</v>
      </c>
      <c r="H97" t="str" cm="1">
        <f t="array" aca="1" ref="H97" ca="1">INDEX($D$2:$D$101,RANDBETWEEN(1,ROWS(H98:H196)))</f>
        <v>Chimney Hood</v>
      </c>
      <c r="I97" t="str">
        <f t="shared" ca="1" si="36"/>
        <v>Kitchen exhaust for smoke and fumes</v>
      </c>
      <c r="J97" t="str" cm="1">
        <f t="array" aca="1" ref="J97" ca="1">INDEX($D$2:$D$101,RANDBETWEEN(1,ROWS(J98:J196)))</f>
        <v>Yogurt Maker</v>
      </c>
      <c r="K97" t="str">
        <f t="shared" ca="1" si="37"/>
        <v>Home appliance for making yogurt</v>
      </c>
      <c r="L97" t="str" cm="1">
        <f t="array" aca="1" ref="L97" ca="1">INDEX($D$2:$D$101,RANDBETWEEN(1,ROWS(L98:L196)))</f>
        <v>Smart Toothbrush</v>
      </c>
      <c r="M97" t="str">
        <f t="shared" ca="1" si="38"/>
        <v>Electric brush with Bluetooth tracking</v>
      </c>
      <c r="N97" t="str" cm="1">
        <f t="array" aca="1" ref="N97" ca="1">INDEX($D$2:$D$101,RANDBETWEEN(1,ROWS(N98:N196)))</f>
        <v>Smart Rearview Mirror</v>
      </c>
      <c r="O97" t="str">
        <f t="shared" ca="1" si="39"/>
        <v>Touchscreen mirror with GPS and camera</v>
      </c>
      <c r="P97" t="str" cm="1">
        <f t="array" aca="1" ref="P97" ca="1">INDEX($D$2:$D$101,RANDBETWEEN(1,ROWS(P98:P196)))</f>
        <v>Meat Grinder</v>
      </c>
      <c r="Q97" t="str">
        <f t="shared" ca="1" si="40"/>
        <v>Grinds meat for home cooking</v>
      </c>
      <c r="R97" t="str" cm="1">
        <f t="array" aca="1" ref="R97" ca="1">INDEX($D$2:$D$101,RANDBETWEEN(1,ROWS(R98:R196)))</f>
        <v>Smart Weighing Scale</v>
      </c>
      <c r="S97" t="str">
        <f t="shared" ca="1" si="41"/>
        <v>Body scale with app sync and health data</v>
      </c>
      <c r="T97" t="str" cm="1">
        <f t="array" aca="1" ref="T97" ca="1">INDEX($D$2:$D$101,RANDBETWEEN(1,ROWS(T98:T196)))</f>
        <v>IPL Hair Removal Device</v>
      </c>
      <c r="U97" t="str">
        <f t="shared" ca="1" si="42"/>
        <v>At-home laser hair removal system</v>
      </c>
      <c r="V97" t="str" cm="1">
        <f t="array" aca="1" ref="V97" ca="1">INDEX($D$2:$D$101,RANDBETWEEN(1,ROWS(V98:V196)))</f>
        <v>Egg Boiler</v>
      </c>
      <c r="W97" t="str">
        <f t="shared" ca="1" si="43"/>
        <v>Automatically boils eggs</v>
      </c>
      <c r="X97" t="str" cm="1">
        <f t="array" aca="1" ref="X97" ca="1">INDEX($D$2:$D$101,RANDBETWEEN(1,ROWS(X98:X196)))</f>
        <v>Bluetooth Transmitter</v>
      </c>
      <c r="Y97" t="str">
        <f t="shared" ca="1" si="44"/>
        <v>Sends audio to Bluetooth devices</v>
      </c>
      <c r="Z97" t="str" cm="1">
        <f t="array" aca="1" ref="Z97" ca="1">INDEX($D$2:$D$101,RANDBETWEEN(1,ROWS(Z98:Z196)))</f>
        <v>Pancake Maker</v>
      </c>
      <c r="AA97" t="str">
        <f t="shared" ca="1" si="45"/>
        <v>Easy tool for making pancakes</v>
      </c>
      <c r="AB97" t="str" cm="1">
        <f t="array" aca="1" ref="AB97" ca="1">INDEX($D$2:$D$101,RANDBETWEEN(1,ROWS(AB98:AB196)))</f>
        <v>Milk Frother</v>
      </c>
      <c r="AC97" t="str">
        <f t="shared" ca="1" si="46"/>
        <v>Froths milk for lattes and cappuccinos</v>
      </c>
      <c r="AD97" t="str" cm="1">
        <f t="array" aca="1" ref="AD97" ca="1">INDEX($D$2:$D$101,RANDBETWEEN(1,ROWS(AD98:AD196)))</f>
        <v>Rechargeable Torch</v>
      </c>
      <c r="AE97" t="str">
        <f t="shared" ca="1" si="47"/>
        <v>Flashlight that can be recharged</v>
      </c>
      <c r="AF97" t="str" cm="1">
        <f t="array" aca="1" ref="AF97" ca="1">INDEX($D$2:$D$101,RANDBETWEEN(1,ROWS(AF98:AF196)))</f>
        <v>Digital Multimeter</v>
      </c>
      <c r="AG97" t="str">
        <f t="shared" ca="1" si="48"/>
        <v>Measures voltage, current, resistance</v>
      </c>
      <c r="AH97" t="str" cm="1">
        <f t="array" aca="1" ref="AH97" ca="1">INDEX($D$2:$D$101,RANDBETWEEN(1,ROWS(AH98:AH196)))</f>
        <v>Hair Removal Epilator</v>
      </c>
      <c r="AI97" t="str">
        <f t="shared" ca="1" si="49"/>
        <v>Plucks hair from root electrically</v>
      </c>
      <c r="AJ97" t="str" cm="1">
        <f t="array" aca="1" ref="AJ97" ca="1">INDEX($D$2:$D$101,RANDBETWEEN(1,ROWS(AJ98:AJ196)))</f>
        <v>Car Subwoofer</v>
      </c>
      <c r="AK97" t="str">
        <f t="shared" ca="1" si="35"/>
        <v>Audio upgrade for car music systems</v>
      </c>
      <c r="AL97" t="str" cm="1">
        <f t="array" aca="1" ref="AL97" ca="1">INDEX($D$2:$D$101,RANDBETWEEN(1,ROWS(AL98:AL196)))</f>
        <v>Smart Mosquito Repeller</v>
      </c>
      <c r="AM97" t="str">
        <f t="shared" ca="1" si="50"/>
        <v>USB-powered electronic insect repeller</v>
      </c>
      <c r="AN97" t="str" cm="1">
        <f t="array" aca="1" ref="AN97" ca="1">INDEX($D$2:$D$101,RANDBETWEEN(1,ROWS(AN98:AN196)))</f>
        <v>Smart Doorbell</v>
      </c>
      <c r="AO97" t="str">
        <f t="shared" ca="1" si="51"/>
        <v>Wi-Fi-enabled doorbell with camera and intercom</v>
      </c>
      <c r="AP97" t="str" cm="1">
        <f t="array" aca="1" ref="AP97" ca="1">INDEX($D$2:$D$101,RANDBETWEEN(1,ROWS(AP98:AP196)))</f>
        <v>Meat Grinder</v>
      </c>
      <c r="AQ97" t="str">
        <f t="shared" ca="1" si="52"/>
        <v>Grinds meat for home cooking</v>
      </c>
    </row>
    <row r="98" spans="1:43" ht="20.5" customHeight="1" x14ac:dyDescent="0.3">
      <c r="A98" s="22">
        <v>197</v>
      </c>
      <c r="B98" t="s">
        <v>414</v>
      </c>
      <c r="C98" t="s">
        <v>89</v>
      </c>
      <c r="D98" s="1" t="s">
        <v>284</v>
      </c>
      <c r="E98" s="1" t="s">
        <v>285</v>
      </c>
      <c r="F98" t="str" cm="1">
        <f t="array" aca="1" ref="F98" ca="1">INDEX($D$2:$D$101,RANDBETWEEN(1,ROWS(F99:F197)))</f>
        <v>Smart Weighing Scale</v>
      </c>
      <c r="G98" t="str">
        <f t="shared" ca="1" si="0"/>
        <v>Body scale with app sync and health data</v>
      </c>
      <c r="H98" t="str" cm="1">
        <f t="array" aca="1" ref="H98" ca="1">INDEX($D$2:$D$101,RANDBETWEEN(1,ROWS(H99:H197)))</f>
        <v>Crepe Maker</v>
      </c>
      <c r="I98" t="str">
        <f t="shared" ca="1" si="36"/>
        <v>Electric pan for making crepes</v>
      </c>
      <c r="J98" t="str" cm="1">
        <f t="array" aca="1" ref="J98" ca="1">INDEX($D$2:$D$101,RANDBETWEEN(1,ROWS(J99:J197)))</f>
        <v>Meat Grinder</v>
      </c>
      <c r="K98" t="str">
        <f t="shared" ca="1" si="37"/>
        <v>Grinds meat for home cooking</v>
      </c>
      <c r="L98" t="str" cm="1">
        <f t="array" aca="1" ref="L98" ca="1">INDEX($D$2:$D$101,RANDBETWEEN(1,ROWS(L99:L197)))</f>
        <v>Waffle Maker</v>
      </c>
      <c r="M98" t="str">
        <f t="shared" ca="1" si="38"/>
        <v>Makes waffles at home</v>
      </c>
      <c r="N98" t="str" cm="1">
        <f t="array" aca="1" ref="N98" ca="1">INDEX($D$2:$D$101,RANDBETWEEN(1,ROWS(N99:N197)))</f>
        <v>Smart Doorbell</v>
      </c>
      <c r="O98" t="str">
        <f t="shared" ca="1" si="39"/>
        <v>Wi-Fi-enabled doorbell with camera and intercom</v>
      </c>
      <c r="P98" t="str" cm="1">
        <f t="array" aca="1" ref="P98" ca="1">INDEX($D$2:$D$101,RANDBETWEEN(1,ROWS(P99:P197)))</f>
        <v>UV Sterilizer Box</v>
      </c>
      <c r="Q98" t="str">
        <f t="shared" ca="1" si="40"/>
        <v>Disinfects small items using UV light</v>
      </c>
      <c r="R98" t="str" cm="1">
        <f t="array" aca="1" ref="R98" ca="1">INDEX($D$2:$D$101,RANDBETWEEN(1,ROWS(R99:R197)))</f>
        <v>Instant Coffee Machine</v>
      </c>
      <c r="S98" t="str">
        <f t="shared" ca="1" si="41"/>
        <v>Brews coffee quickly and easily</v>
      </c>
      <c r="T98" t="str" cm="1">
        <f t="array" aca="1" ref="T98" ca="1">INDEX($D$2:$D$101,RANDBETWEEN(1,ROWS(T99:T197)))</f>
        <v>Ultrasonic Skin Cleaner</v>
      </c>
      <c r="U98" t="str">
        <f t="shared" ca="1" si="42"/>
        <v>Deep cleans skin using ultrasonic waves</v>
      </c>
      <c r="V98" t="str" cm="1">
        <f t="array" aca="1" ref="V98" ca="1">INDEX($D$2:$D$101,RANDBETWEEN(1,ROWS(V99:V197)))</f>
        <v>Smart Washing Machine</v>
      </c>
      <c r="W98" t="str">
        <f t="shared" ca="1" si="43"/>
        <v>Wi-Fi-enabled washer with remote control options</v>
      </c>
      <c r="X98" t="str" cm="1">
        <f t="array" aca="1" ref="X98" ca="1">INDEX($D$2:$D$101,RANDBETWEEN(1,ROWS(X99:X197)))</f>
        <v>Electric Grill</v>
      </c>
      <c r="Y98" t="str">
        <f t="shared" ca="1" si="44"/>
        <v>Indoor grill for meat and vegetables</v>
      </c>
      <c r="Z98" t="str" cm="1">
        <f t="array" aca="1" ref="Z98" ca="1">INDEX($D$2:$D$101,RANDBETWEEN(1,ROWS(Z99:Z197)))</f>
        <v>Smart Ceiling Light</v>
      </c>
      <c r="AA98" t="str">
        <f t="shared" ca="1" si="45"/>
        <v>Wi-Fi-enabled, color-changing ceiling light</v>
      </c>
      <c r="AB98" t="str" cm="1">
        <f t="array" aca="1" ref="AB98" ca="1">INDEX($D$2:$D$101,RANDBETWEEN(1,ROWS(AB99:AB197)))</f>
        <v>Motion Sensor Light</v>
      </c>
      <c r="AC98" t="str">
        <f t="shared" ca="1" si="46"/>
        <v>Lights that activate on movement</v>
      </c>
      <c r="AD98" t="str" cm="1">
        <f t="array" aca="1" ref="AD98" ca="1">INDEX($D$2:$D$101,RANDBETWEEN(1,ROWS(AD99:AD197)))</f>
        <v>HDMI Switch</v>
      </c>
      <c r="AE98" t="str">
        <f t="shared" ca="1" si="47"/>
        <v>Connects multiple HDMI devices</v>
      </c>
      <c r="AF98" t="str" cm="1">
        <f t="array" aca="1" ref="AF98" ca="1">INDEX($D$2:$D$101,RANDBETWEEN(1,ROWS(AF99:AF197)))</f>
        <v>Inverter AC</v>
      </c>
      <c r="AG98" t="str">
        <f t="shared" ca="1" si="48"/>
        <v>Energy-efficient air conditioner</v>
      </c>
      <c r="AH98" t="str" cm="1">
        <f t="array" aca="1" ref="AH98" ca="1">INDEX($D$2:$D$101,RANDBETWEEN(1,ROWS(AH99:AH197)))</f>
        <v>Electric Facial Brush</v>
      </c>
      <c r="AI98" t="str">
        <f t="shared" ca="1" si="49"/>
        <v>Cleansing brush for exfoliation</v>
      </c>
      <c r="AJ98" t="str" cm="1">
        <f t="array" aca="1" ref="AJ98" ca="1">INDEX($D$2:$D$101,RANDBETWEEN(1,ROWS(AJ99:AJ197)))</f>
        <v>Portable Power Station</v>
      </c>
      <c r="AK98" t="str">
        <f t="shared" ref="AK98:AK101" ca="1" si="53">VLOOKUP(AJ98,oo,2,0)</f>
        <v>Rechargeable power supply for outdoors</v>
      </c>
      <c r="AL98" t="str" cm="1">
        <f t="array" aca="1" ref="AL98" ca="1">INDEX($D$2:$D$101,RANDBETWEEN(1,ROWS(AL99:AL197)))</f>
        <v>Water Dispenser</v>
      </c>
      <c r="AM98" t="str">
        <f t="shared" ca="1" si="50"/>
        <v>Dispenses hot and cold water</v>
      </c>
      <c r="AN98" t="str" cm="1">
        <f t="array" aca="1" ref="AN98" ca="1">INDEX($D$2:$D$101,RANDBETWEEN(1,ROWS(AN99:AN197)))</f>
        <v>Pancake Maker</v>
      </c>
      <c r="AO98" t="str">
        <f t="shared" ca="1" si="51"/>
        <v>Easy tool for making pancakes</v>
      </c>
      <c r="AP98" t="str" cm="1">
        <f t="array" aca="1" ref="AP98" ca="1">INDEX($D$2:$D$101,RANDBETWEEN(1,ROWS(AP99:AP197)))</f>
        <v>Plug-in Night Light</v>
      </c>
      <c r="AQ98" t="str">
        <f t="shared" ca="1" si="52"/>
        <v>Low-power night light for rooms</v>
      </c>
    </row>
    <row r="99" spans="1:43" ht="20.5" customHeight="1" x14ac:dyDescent="0.3">
      <c r="A99" s="22">
        <v>198</v>
      </c>
      <c r="B99" t="s">
        <v>415</v>
      </c>
      <c r="C99" t="s">
        <v>92</v>
      </c>
      <c r="D99" s="1" t="s">
        <v>286</v>
      </c>
      <c r="E99" s="1" t="s">
        <v>287</v>
      </c>
      <c r="F99" t="str" cm="1">
        <f t="array" aca="1" ref="F99" ca="1">INDEX($D$2:$D$101,RANDBETWEEN(1,ROWS(F100:F198)))</f>
        <v>Magnetic Charging Cable</v>
      </c>
      <c r="G99" t="str">
        <f t="shared" ca="1" si="0"/>
        <v>Detachable magnetic USB cable</v>
      </c>
      <c r="H99" t="str" cm="1">
        <f t="array" aca="1" ref="H99" ca="1">INDEX($D$2:$D$101,RANDBETWEEN(1,ROWS(H100:H198)))</f>
        <v>Meat Grinder</v>
      </c>
      <c r="I99" t="str">
        <f t="shared" ca="1" si="36"/>
        <v>Grinds meat for home cooking</v>
      </c>
      <c r="J99" t="str" cm="1">
        <f t="array" aca="1" ref="J99" ca="1">INDEX($D$2:$D$101,RANDBETWEEN(1,ROWS(J100:J198)))</f>
        <v>Mini Bluetooth Receiver</v>
      </c>
      <c r="K99" t="str">
        <f t="shared" ca="1" si="37"/>
        <v>Adds Bluetooth to non-Bluetooth devices</v>
      </c>
      <c r="L99" t="str" cm="1">
        <f t="array" aca="1" ref="L99" ca="1">INDEX($D$2:$D$101,RANDBETWEEN(1,ROWS(L100:L198)))</f>
        <v>Smart Switch</v>
      </c>
      <c r="M99" t="str">
        <f t="shared" ca="1" si="38"/>
        <v>Wi-Fi-enabled wall switch for remote operation</v>
      </c>
      <c r="N99" t="str" cm="1">
        <f t="array" aca="1" ref="N99" ca="1">INDEX($D$2:$D$101,RANDBETWEEN(1,ROWS(N100:N198)))</f>
        <v>Mosquito Killer Lamp</v>
      </c>
      <c r="O99" t="str">
        <f t="shared" ca="1" si="39"/>
        <v>Electric trap for mosquitoes</v>
      </c>
      <c r="P99" t="str" cm="1">
        <f t="array" aca="1" ref="P99" ca="1">INDEX($D$2:$D$101,RANDBETWEEN(1,ROWS(P100:P198)))</f>
        <v>Smart Doorbell</v>
      </c>
      <c r="Q99" t="str">
        <f t="shared" ca="1" si="40"/>
        <v>Wi-Fi-enabled doorbell with camera and intercom</v>
      </c>
      <c r="R99" t="str" cm="1">
        <f t="array" aca="1" ref="R99" ca="1">INDEX($D$2:$D$101,RANDBETWEEN(1,ROWS(R100:R198)))</f>
        <v>UV Sterilizer Box</v>
      </c>
      <c r="S99" t="str">
        <f t="shared" ca="1" si="41"/>
        <v>Disinfects small items using UV light</v>
      </c>
      <c r="T99" t="str" cm="1">
        <f t="array" aca="1" ref="T99" ca="1">INDEX($D$2:$D$101,RANDBETWEEN(1,ROWS(T100:T198)))</f>
        <v>HDMI Cable</v>
      </c>
      <c r="U99" t="str">
        <f t="shared" ca="1" si="42"/>
        <v>Transfers audio/video signals</v>
      </c>
      <c r="V99" t="str" cm="1">
        <f t="array" aca="1" ref="V99" ca="1">INDEX($D$2:$D$101,RANDBETWEEN(1,ROWS(V100:V198)))</f>
        <v>Smart Doorbell</v>
      </c>
      <c r="W99" t="str">
        <f t="shared" ca="1" si="43"/>
        <v>Wi-Fi-enabled doorbell with camera and intercom</v>
      </c>
      <c r="X99" t="str" cm="1">
        <f t="array" aca="1" ref="X99" ca="1">INDEX($D$2:$D$101,RANDBETWEEN(1,ROWS(X100:X198)))</f>
        <v>Ultrasonic Skin Cleaner</v>
      </c>
      <c r="Y99" t="str">
        <f t="shared" ca="1" si="44"/>
        <v>Deep cleans skin using ultrasonic waves</v>
      </c>
      <c r="Z99" t="str" cm="1">
        <f t="array" aca="1" ref="Z99" ca="1">INDEX($D$2:$D$101,RANDBETWEEN(1,ROWS(Z100:Z198)))</f>
        <v>Bluetooth Transmitter</v>
      </c>
      <c r="AA99" t="str">
        <f t="shared" ca="1" si="45"/>
        <v>Sends audio to Bluetooth devices</v>
      </c>
      <c r="AB99" t="str" cm="1">
        <f t="array" aca="1" ref="AB99" ca="1">INDEX($D$2:$D$101,RANDBETWEEN(1,ROWS(AB100:AB198)))</f>
        <v>Roti Maker</v>
      </c>
      <c r="AC99" t="str">
        <f t="shared" ca="1" si="46"/>
        <v>Flattens and cooks Indian flatbreads</v>
      </c>
      <c r="AD99" t="str" cm="1">
        <f t="array" aca="1" ref="AD99" ca="1">INDEX($D$2:$D$101,RANDBETWEEN(1,ROWS(AD100:AD198)))</f>
        <v>Bluetooth Transmitter</v>
      </c>
      <c r="AE99" t="str">
        <f t="shared" ca="1" si="47"/>
        <v>Sends audio to Bluetooth devices</v>
      </c>
      <c r="AF99" t="str" cm="1">
        <f t="array" aca="1" ref="AF99" ca="1">INDEX($D$2:$D$101,RANDBETWEEN(1,ROWS(AF100:AF198)))</f>
        <v>Smart Smoke Detector</v>
      </c>
      <c r="AG99" t="str">
        <f t="shared" ca="1" si="48"/>
        <v>Smoke alarm with smart alerts</v>
      </c>
      <c r="AH99" t="str" cm="1">
        <f t="array" aca="1" ref="AH99" ca="1">INDEX($D$2:$D$101,RANDBETWEEN(1,ROWS(AH100:AH198)))</f>
        <v>UV Sterilizer Box</v>
      </c>
      <c r="AI99" t="str">
        <f t="shared" ca="1" si="49"/>
        <v>Disinfects small items using UV light</v>
      </c>
      <c r="AJ99" t="str" cm="1">
        <f t="array" aca="1" ref="AJ99" ca="1">INDEX($D$2:$D$101,RANDBETWEEN(1,ROWS(AJ100:AJ198)))</f>
        <v>Callus Remover</v>
      </c>
      <c r="AK99" t="str">
        <f t="shared" ca="1" si="53"/>
        <v>Removes dead skin from feet</v>
      </c>
      <c r="AL99" t="str" cm="1">
        <f t="array" aca="1" ref="AL99" ca="1">INDEX($D$2:$D$101,RANDBETWEEN(1,ROWS(AL100:AL198)))</f>
        <v>UV Toothbrush Sterilizer</v>
      </c>
      <c r="AM99" t="str">
        <f t="shared" ca="1" si="50"/>
        <v>Disinfects toothbrush using UV light</v>
      </c>
      <c r="AN99" t="str" cm="1">
        <f t="array" aca="1" ref="AN99" ca="1">INDEX($D$2:$D$101,RANDBETWEEN(1,ROWS(AN100:AN198)))</f>
        <v>Smart Washing Machine</v>
      </c>
      <c r="AO99" t="str">
        <f t="shared" ca="1" si="51"/>
        <v>Wi-Fi-enabled washer with remote control options</v>
      </c>
      <c r="AP99" t="str" cm="1">
        <f t="array" aca="1" ref="AP99" ca="1">INDEX($D$2:$D$101,RANDBETWEEN(1,ROWS(AP100:AP198)))</f>
        <v>Robot Vacuum Cleaner</v>
      </c>
      <c r="AQ99" t="str">
        <f t="shared" ca="1" si="52"/>
        <v>Automated floor cleaning device</v>
      </c>
    </row>
    <row r="100" spans="1:43" ht="20.5" customHeight="1" x14ac:dyDescent="0.3">
      <c r="A100" s="22">
        <v>199</v>
      </c>
      <c r="B100" t="s">
        <v>416</v>
      </c>
      <c r="C100" t="s">
        <v>95</v>
      </c>
      <c r="D100" s="1" t="s">
        <v>288</v>
      </c>
      <c r="E100" s="1" t="s">
        <v>289</v>
      </c>
      <c r="F100" t="str" cm="1">
        <f t="array" aca="1" ref="F100" ca="1">INDEX($D$2:$D$101,RANDBETWEEN(1,ROWS(F101:F199)))</f>
        <v>Mosquito Killer Lamp</v>
      </c>
      <c r="G100" t="str">
        <f t="shared" ca="1" si="0"/>
        <v>Electric trap for mosquitoes</v>
      </c>
      <c r="H100" t="str" cm="1">
        <f t="array" aca="1" ref="H100" ca="1">INDEX($D$2:$D$101,RANDBETWEEN(1,ROWS(H101:H199)))</f>
        <v>Yogurt Maker</v>
      </c>
      <c r="I100" t="str">
        <f t="shared" ca="1" si="36"/>
        <v>Home appliance for making yogurt</v>
      </c>
      <c r="J100" t="str" cm="1">
        <f t="array" aca="1" ref="J100" ca="1">INDEX($D$2:$D$101,RANDBETWEEN(1,ROWS(J101:J199)))</f>
        <v>Soundbar</v>
      </c>
      <c r="K100" t="str">
        <f t="shared" ca="1" si="37"/>
        <v>Compact speaker bar for TVs</v>
      </c>
      <c r="L100" t="str" cm="1">
        <f t="array" aca="1" ref="L100" ca="1">INDEX($D$2:$D$101,RANDBETWEEN(1,ROWS(L101:L199)))</f>
        <v>Hair Removal Epilator</v>
      </c>
      <c r="M100" t="str">
        <f t="shared" ca="1" si="38"/>
        <v>Plucks hair from root electrically</v>
      </c>
      <c r="N100" t="str" cm="1">
        <f t="array" aca="1" ref="N100" ca="1">INDEX($D$2:$D$101,RANDBETWEEN(1,ROWS(N101:N199)))</f>
        <v>Hair Removal Epilator</v>
      </c>
      <c r="O100" t="str">
        <f t="shared" ca="1" si="39"/>
        <v>Plucks hair from root electrically</v>
      </c>
      <c r="P100" t="str" cm="1">
        <f t="array" aca="1" ref="P100" ca="1">INDEX($D$2:$D$101,RANDBETWEEN(1,ROWS(P101:P199)))</f>
        <v>Car Air Purifier</v>
      </c>
      <c r="Q100" t="str">
        <f t="shared" ca="1" si="40"/>
        <v>Filters air inside vehicles</v>
      </c>
      <c r="R100" t="str" cm="1">
        <f t="array" aca="1" ref="R100" ca="1">INDEX($D$2:$D$101,RANDBETWEEN(1,ROWS(R101:R199)))</f>
        <v>Emergency Solar Light</v>
      </c>
      <c r="S100" t="str">
        <f t="shared" ca="1" si="41"/>
        <v>Solar-powered backup light</v>
      </c>
      <c r="T100" t="str" cm="1">
        <f t="array" aca="1" ref="T100" ca="1">INDEX($D$2:$D$101,RANDBETWEEN(1,ROWS(T101:T199)))</f>
        <v>Smart Washing Machine</v>
      </c>
      <c r="U100" t="str">
        <f t="shared" ca="1" si="42"/>
        <v>Wi-Fi-enabled washer with remote control options</v>
      </c>
      <c r="V100" t="str" cm="1">
        <f t="array" aca="1" ref="V100" ca="1">INDEX($D$2:$D$101,RANDBETWEEN(1,ROWS(V101:V199)))</f>
        <v>Smart Washing Machine</v>
      </c>
      <c r="W100" t="str">
        <f t="shared" ca="1" si="43"/>
        <v>Wi-Fi-enabled washer with remote control options</v>
      </c>
      <c r="X100" t="str" cm="1">
        <f t="array" aca="1" ref="X100" ca="1">INDEX($D$2:$D$101,RANDBETWEEN(1,ROWS(X101:X199)))</f>
        <v>Electric Chopper</v>
      </c>
      <c r="Y100" t="str">
        <f t="shared" ca="1" si="44"/>
        <v>Chops vegetables and fruits quickly</v>
      </c>
      <c r="Z100" t="str" cm="1">
        <f t="array" aca="1" ref="Z100" ca="1">INDEX($D$2:$D$101,RANDBETWEEN(1,ROWS(Z101:Z199)))</f>
        <v>Ice Maker</v>
      </c>
      <c r="AA100" t="str">
        <f t="shared" ca="1" si="45"/>
        <v>Machine that produces ice cubes automatically</v>
      </c>
      <c r="AB100" t="str" cm="1">
        <f t="array" aca="1" ref="AB100" ca="1">INDEX($D$2:$D$101,RANDBETWEEN(1,ROWS(AB101:AB199)))</f>
        <v>Ice Maker</v>
      </c>
      <c r="AC100" t="str">
        <f t="shared" ca="1" si="46"/>
        <v>Machine that produces ice cubes automatically</v>
      </c>
      <c r="AD100" t="str" cm="1">
        <f t="array" aca="1" ref="AD100" ca="1">INDEX($D$2:$D$101,RANDBETWEEN(1,ROWS(AD101:AD199)))</f>
        <v>USB-C Docking Station</v>
      </c>
      <c r="AE100" t="str">
        <f t="shared" ca="1" si="47"/>
        <v>Expands ports for laptops</v>
      </c>
      <c r="AF100" t="str" cm="1">
        <f t="array" aca="1" ref="AF100" ca="1">INDEX($D$2:$D$101,RANDBETWEEN(1,ROWS(AF101:AF199)))</f>
        <v>Smart Microwave</v>
      </c>
      <c r="AG100" t="str">
        <f t="shared" ca="1" si="48"/>
        <v>Microwave with voice or app control</v>
      </c>
      <c r="AH100" t="str" cm="1">
        <f t="array" aca="1" ref="AH100" ca="1">INDEX($D$2:$D$101,RANDBETWEEN(1,ROWS(AH101:AH199)))</f>
        <v>Laptop Stand</v>
      </c>
      <c r="AI100" t="str">
        <f t="shared" ca="1" si="49"/>
        <v>Raises laptop for ergonomic use</v>
      </c>
      <c r="AJ100" t="str" cm="1">
        <f t="array" aca="1" ref="AJ100" ca="1">INDEX($D$2:$D$101,RANDBETWEEN(1,ROWS(AJ101:AJ199)))</f>
        <v>Smart Air Conditioner</v>
      </c>
      <c r="AK100" t="str">
        <f t="shared" ca="1" si="53"/>
        <v>AC unit controllable via smartphone or voice</v>
      </c>
      <c r="AL100" t="str" cm="1">
        <f t="array" aca="1" ref="AL100" ca="1">INDEX($D$2:$D$101,RANDBETWEEN(1,ROWS(AL101:AL199)))</f>
        <v>Electric Egg Beater</v>
      </c>
      <c r="AM100" t="str">
        <f t="shared" ca="1" si="50"/>
        <v>Handheld electric whisk for baking</v>
      </c>
      <c r="AN100" t="str" cm="1">
        <f t="array" aca="1" ref="AN100" ca="1">INDEX($D$2:$D$101,RANDBETWEEN(1,ROWS(AN101:AN199)))</f>
        <v>Wi-Fi Range Extender</v>
      </c>
      <c r="AO100" t="str">
        <f t="shared" ca="1" si="51"/>
        <v>Boosts home Wi-Fi signal</v>
      </c>
      <c r="AP100" t="str" cm="1">
        <f t="array" aca="1" ref="AP100" ca="1">INDEX($D$2:$D$101,RANDBETWEEN(1,ROWS(AP101:AP199)))</f>
        <v>Cord Organizer Box</v>
      </c>
      <c r="AQ100" t="str">
        <f t="shared" ca="1" si="52"/>
        <v>Box to hide and manage power strips</v>
      </c>
    </row>
    <row r="101" spans="1:43" ht="20.5" customHeight="1" x14ac:dyDescent="0.3">
      <c r="A101" s="22">
        <v>200</v>
      </c>
      <c r="B101" t="s">
        <v>417</v>
      </c>
      <c r="C101" t="s">
        <v>98</v>
      </c>
      <c r="D101" s="1" t="s">
        <v>290</v>
      </c>
      <c r="E101" s="1" t="s">
        <v>291</v>
      </c>
      <c r="F101" t="str" cm="1">
        <f t="array" aca="1" ref="F101" ca="1">INDEX($D$2:$D$101,RANDBETWEEN(1,ROWS(F102:F200)))</f>
        <v>Digital Multimeter</v>
      </c>
      <c r="G101" t="str">
        <f t="shared" ca="1" si="0"/>
        <v>Measures voltage, current, resistance</v>
      </c>
      <c r="H101" t="str" cm="1">
        <f t="array" aca="1" ref="H101" ca="1">INDEX($D$2:$D$101,RANDBETWEEN(1,ROWS(H102:H200)))</f>
        <v>Electric Water Boiler</v>
      </c>
      <c r="I101" t="str">
        <f t="shared" ca="1" si="36"/>
        <v>Quickly boils large volumes of water</v>
      </c>
      <c r="J101" t="str" cm="1">
        <f t="array" aca="1" ref="J101" ca="1">INDEX($D$2:$D$101,RANDBETWEEN(1,ROWS(J102:J200)))</f>
        <v>Smart Doorbell</v>
      </c>
      <c r="K101" t="str">
        <f t="shared" ca="1" si="37"/>
        <v>Wi-Fi-enabled doorbell with camera and intercom</v>
      </c>
      <c r="L101" t="str" cm="1">
        <f t="array" aca="1" ref="L101" ca="1">INDEX($D$2:$D$101,RANDBETWEEN(1,ROWS(L102:L200)))</f>
        <v>Smart Air Conditioner</v>
      </c>
      <c r="M101" t="str">
        <f t="shared" ca="1" si="38"/>
        <v>AC unit controllable via smartphone or voice</v>
      </c>
      <c r="N101" t="str" cm="1">
        <f t="array" aca="1" ref="N101" ca="1">INDEX($D$2:$D$101,RANDBETWEEN(1,ROWS(N102:N200)))</f>
        <v>Smart Rearview Mirror</v>
      </c>
      <c r="O101" t="str">
        <f t="shared" ca="1" si="39"/>
        <v>Touchscreen mirror with GPS and camera</v>
      </c>
      <c r="P101" t="str" cm="1">
        <f t="array" aca="1" ref="P101" ca="1">INDEX($D$2:$D$101,RANDBETWEEN(1,ROWS(P102:P200)))</f>
        <v>Smart IR Remote</v>
      </c>
      <c r="Q101" t="str">
        <f t="shared" ca="1" si="40"/>
        <v>Controls appliances via smartphone</v>
      </c>
      <c r="R101" t="str" cm="1">
        <f t="array" aca="1" ref="R101" ca="1">INDEX($D$2:$D$101,RANDBETWEEN(1,ROWS(R102:R200)))</f>
        <v>Electric Nail File Kit</v>
      </c>
      <c r="S101" t="str">
        <f t="shared" ca="1" si="41"/>
        <v>For manicure and pedicure at home</v>
      </c>
      <c r="T101" t="str" cm="1">
        <f t="array" aca="1" ref="T101" ca="1">INDEX($D$2:$D$101,RANDBETWEEN(1,ROWS(T102:T200)))</f>
        <v>Pedestal Fan</v>
      </c>
      <c r="U101" t="str">
        <f t="shared" ca="1" si="42"/>
        <v>Adjustable stand fan for personal cooling</v>
      </c>
      <c r="V101" t="str" cm="1">
        <f t="array" aca="1" ref="V101" ca="1">INDEX($D$2:$D$101,RANDBETWEEN(1,ROWS(V102:V200)))</f>
        <v>Digital Multimeter</v>
      </c>
      <c r="W101" t="str">
        <f t="shared" ca="1" si="43"/>
        <v>Measures voltage, current, resistance</v>
      </c>
      <c r="X101" t="str" cm="1">
        <f t="array" aca="1" ref="X101" ca="1">INDEX($D$2:$D$101,RANDBETWEEN(1,ROWS(X102:X200)))</f>
        <v>UV Sterilizer Box</v>
      </c>
      <c r="Y101" t="str">
        <f t="shared" ca="1" si="44"/>
        <v>Disinfects small items using UV light</v>
      </c>
      <c r="Z101" t="str" cm="1">
        <f t="array" aca="1" ref="Z101" ca="1">INDEX($D$2:$D$101,RANDBETWEEN(1,ROWS(Z102:Z200)))</f>
        <v>Roti Maker</v>
      </c>
      <c r="AA101" t="str">
        <f t="shared" ca="1" si="45"/>
        <v>Flattens and cooks Indian flatbreads</v>
      </c>
      <c r="AB101" t="str" cm="1">
        <f t="array" aca="1" ref="AB101" ca="1">INDEX($D$2:$D$101,RANDBETWEEN(1,ROWS(AB102:AB200)))</f>
        <v>Electric Water Boiler</v>
      </c>
      <c r="AC101" t="str">
        <f t="shared" ca="1" si="46"/>
        <v>Quickly boils large volumes of water</v>
      </c>
      <c r="AD101" t="str" cm="1">
        <f t="array" aca="1" ref="AD101" ca="1">INDEX($D$2:$D$101,RANDBETWEEN(1,ROWS(AD102:AD200)))</f>
        <v>Bluetooth Alarm Clock</v>
      </c>
      <c r="AE101" t="str">
        <f t="shared" ca="1" si="47"/>
        <v>Combines alarm with Bluetooth speaker</v>
      </c>
      <c r="AF101" t="str" cm="1">
        <f t="array" aca="1" ref="AF101" ca="1">INDEX($D$2:$D$101,RANDBETWEEN(1,ROWS(AF102:AF200)))</f>
        <v>Heated Eyelash Curler</v>
      </c>
      <c r="AG101" t="str">
        <f t="shared" ca="1" si="48"/>
        <v>Shapes eyelashes with gentle heat</v>
      </c>
      <c r="AH101" t="str" cm="1">
        <f t="array" aca="1" ref="AH101" ca="1">INDEX($D$2:$D$101,RANDBETWEEN(1,ROWS(AH102:AH200)))</f>
        <v>HDMI Cable</v>
      </c>
      <c r="AI101" t="str">
        <f t="shared" ca="1" si="49"/>
        <v>Transfers audio/video signals</v>
      </c>
      <c r="AJ101" t="str" cm="1">
        <f t="array" aca="1" ref="AJ101" ca="1">INDEX($D$2:$D$101,RANDBETWEEN(1,ROWS(AJ102:AJ200)))</f>
        <v>Rechargeable Torch</v>
      </c>
      <c r="AK101" t="str">
        <f t="shared" ca="1" si="53"/>
        <v>Flashlight that can be recharged</v>
      </c>
      <c r="AL101" t="str" cm="1">
        <f t="array" aca="1" ref="AL101" ca="1">INDEX($D$2:$D$101,RANDBETWEEN(1,ROWS(AL102:AL200)))</f>
        <v>Smart Mosquito Repeller</v>
      </c>
      <c r="AM101" t="str">
        <f t="shared" ca="1" si="50"/>
        <v>USB-powered electronic insect repeller</v>
      </c>
      <c r="AN101" t="str" cm="1">
        <f t="array" aca="1" ref="AN101" ca="1">INDEX($D$2:$D$101,RANDBETWEEN(1,ROWS(AN102:AN200)))</f>
        <v>LED Strip with Remote</v>
      </c>
      <c r="AO101" t="str">
        <f t="shared" ca="1" si="51"/>
        <v>Customizable LED lighting with remote control</v>
      </c>
      <c r="AP101" t="str" cm="1">
        <f t="array" aca="1" ref="AP101" ca="1">INDEX($D$2:$D$101,RANDBETWEEN(1,ROWS(AP102:AP200)))</f>
        <v>Callus Remover</v>
      </c>
      <c r="AQ101" t="str">
        <f t="shared" ca="1" si="52"/>
        <v>Removes dead skin from feet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Table 1</vt:lpstr>
      <vt:lpstr>Sheet2</vt:lpstr>
      <vt:lpstr>aa</vt:lpstr>
      <vt:lpstr>BB</vt:lpstr>
      <vt:lpstr>MM</vt:lpstr>
      <vt:lpstr>oo</vt:lpstr>
      <vt:lpstr>'Table 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custom_theme_eight.html</dc:title>
  <dc:creator>Admin</dc:creator>
  <cp:lastModifiedBy>Mounika Hampanna</cp:lastModifiedBy>
  <cp:lastPrinted>2025-07-25T12:06:01Z</cp:lastPrinted>
  <dcterms:created xsi:type="dcterms:W3CDTF">2025-06-27T06:03:05Z</dcterms:created>
  <dcterms:modified xsi:type="dcterms:W3CDTF">2025-07-25T12:06:14Z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2025-05-16T00:00:00Z</vt:filetime>
  </property>
  <property fmtid="{D5CDD505-2E9C-101B-9397-08002B2CF9AE}" pid="3" name="Creator">
    <vt:lpwstr>Mozilla/5.0 (X11; Linux x86_64) AppleWebKit/537.36 (KHTML, like Gecko) HeadlessChrome/136.0.0.0 Safari/537.36</vt:lpwstr>
  </property>
  <property fmtid="{D5CDD505-2E9C-101B-9397-08002B2CF9AE}" pid="4" name="LastSaved">
    <vt:filetime>2025-06-27T00:00:00Z</vt:filetime>
  </property>
  <property fmtid="{D5CDD505-2E9C-101B-9397-08002B2CF9AE}" pid="5" name="Producer">
    <vt:lpwstr>Skia/PDF m136</vt:lpwstr>
  </property>
</Properties>
</file>